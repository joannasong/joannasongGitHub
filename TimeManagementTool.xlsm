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ann\Desktop\"/>
    </mc:Choice>
  </mc:AlternateContent>
  <xr:revisionPtr revIDLastSave="0" documentId="13_ncr:1_{D9012BB3-9F1D-4853-B8F1-250D0AB4AD6E}" xr6:coauthVersionLast="47" xr6:coauthVersionMax="47" xr10:uidLastSave="{00000000-0000-0000-0000-000000000000}"/>
  <bookViews>
    <workbookView xWindow="-110" yWindow="-110" windowWidth="38620" windowHeight="21220" xr2:uid="{544E4681-173E-494E-8393-01870AE6809A}"/>
  </bookViews>
  <sheets>
    <sheet name="Input" sheetId="9" r:id="rId1"/>
    <sheet name="Data" sheetId="8" r:id="rId2"/>
    <sheet name="Output" sheetId="4" r:id="rId3"/>
  </sheets>
  <definedNames>
    <definedName name="Categories">Data!$A$27:$A$31</definedName>
    <definedName name="TimeList">#REF!</definedName>
    <definedName name="TimeSpending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8" l="1"/>
  <c r="J6" i="8"/>
  <c r="J7" i="8"/>
  <c r="J8" i="8"/>
  <c r="J9" i="8"/>
  <c r="J10" i="8"/>
  <c r="J11" i="8"/>
  <c r="J12" i="8"/>
  <c r="J13" i="8"/>
  <c r="J14" i="8"/>
  <c r="J15" i="8"/>
  <c r="J16" i="8"/>
  <c r="J17" i="8"/>
  <c r="D10" i="8"/>
  <c r="E10" i="8"/>
  <c r="F10" i="8"/>
  <c r="D11" i="8"/>
  <c r="E11" i="8"/>
  <c r="F11" i="8"/>
  <c r="D12" i="8"/>
  <c r="E12" i="8"/>
  <c r="F12" i="8"/>
  <c r="D13" i="8"/>
  <c r="E13" i="8"/>
  <c r="F13" i="8"/>
  <c r="D14" i="8"/>
  <c r="E14" i="8"/>
  <c r="F14" i="8"/>
  <c r="D15" i="8"/>
  <c r="E15" i="8"/>
  <c r="F15" i="8"/>
  <c r="D16" i="8"/>
  <c r="E16" i="8"/>
  <c r="F16" i="8"/>
  <c r="D17" i="8"/>
  <c r="E17" i="8"/>
  <c r="F17" i="8"/>
  <c r="D18" i="8"/>
  <c r="E18" i="8"/>
  <c r="F18" i="8"/>
  <c r="D19" i="8"/>
  <c r="E19" i="8"/>
  <c r="F19" i="8"/>
  <c r="D20" i="8"/>
  <c r="E20" i="8"/>
  <c r="F20" i="8"/>
  <c r="D21" i="8"/>
  <c r="E21" i="8"/>
  <c r="F21" i="8"/>
  <c r="D22" i="8"/>
  <c r="E22" i="8"/>
  <c r="F22" i="8"/>
  <c r="D23" i="8"/>
  <c r="E23" i="8"/>
  <c r="F23" i="8"/>
  <c r="D24" i="8"/>
  <c r="E24" i="8"/>
  <c r="F24" i="8"/>
  <c r="D25" i="8"/>
  <c r="E25" i="8"/>
  <c r="F25" i="8"/>
  <c r="D26" i="8"/>
  <c r="E26" i="8"/>
  <c r="F26" i="8"/>
  <c r="D27" i="8"/>
  <c r="E27" i="8"/>
  <c r="F27" i="8"/>
  <c r="D28" i="8"/>
  <c r="E28" i="8"/>
  <c r="F28" i="8"/>
  <c r="D29" i="8"/>
  <c r="E29" i="8"/>
  <c r="F29" i="8"/>
  <c r="D30" i="8"/>
  <c r="E30" i="8"/>
  <c r="F30" i="8"/>
  <c r="D31" i="8"/>
  <c r="E31" i="8"/>
  <c r="F31" i="8"/>
  <c r="D32" i="8"/>
  <c r="E32" i="8"/>
  <c r="F32" i="8"/>
  <c r="D33" i="8"/>
  <c r="E33" i="8"/>
  <c r="F33" i="8"/>
  <c r="D34" i="8"/>
  <c r="E34" i="8"/>
  <c r="F34" i="8"/>
  <c r="I3" i="9" a="1"/>
  <c r="I3" i="9" s="1"/>
  <c r="F4" i="8"/>
  <c r="F5" i="8"/>
  <c r="F6" i="8"/>
  <c r="F7" i="8"/>
  <c r="F8" i="8"/>
  <c r="F9" i="8"/>
  <c r="E6" i="8"/>
  <c r="E7" i="8"/>
  <c r="D3" i="8"/>
  <c r="D4" i="8"/>
  <c r="D5" i="8"/>
  <c r="D6" i="8"/>
  <c r="D7" i="8"/>
  <c r="D8" i="8"/>
  <c r="D9" i="8"/>
  <c r="F3" i="8"/>
  <c r="J4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" i="8"/>
  <c r="B3" i="9" a="1"/>
  <c r="B3" i="9" s="1"/>
  <c r="C6" i="9" a="1"/>
  <c r="C6" i="9" s="1"/>
  <c r="W3" i="8" s="1"/>
  <c r="B12" i="8"/>
  <c r="B13" i="8" s="1"/>
  <c r="B21" i="8" s="1"/>
  <c r="S4" i="8" s="1"/>
  <c r="K3" i="9" a="1"/>
  <c r="K3" i="9" s="1"/>
  <c r="B10" i="8"/>
  <c r="Z9" i="8" l="1" a="1"/>
  <c r="Z9" i="8" s="1"/>
  <c r="Z6" i="8" a="1"/>
  <c r="Z6" i="8" s="1"/>
  <c r="Z7" i="8" a="1"/>
  <c r="Z7" i="8" s="1"/>
  <c r="Z5" i="8" a="1"/>
  <c r="Z5" i="8" s="1"/>
  <c r="Z3" i="8" a="1"/>
  <c r="Z3" i="8" s="1"/>
  <c r="Z8" i="8" a="1"/>
  <c r="Z8" i="8" s="1"/>
  <c r="W5" i="8"/>
  <c r="Z4" i="8" a="1"/>
  <c r="Z4" i="8" s="1"/>
  <c r="W6" i="8"/>
  <c r="W4" i="8"/>
  <c r="S19" i="8"/>
  <c r="S34" i="8"/>
  <c r="S18" i="8"/>
  <c r="S33" i="8"/>
  <c r="S25" i="8"/>
  <c r="S17" i="8"/>
  <c r="S9" i="8"/>
  <c r="S32" i="8"/>
  <c r="S24" i="8"/>
  <c r="S16" i="8"/>
  <c r="S8" i="8"/>
  <c r="S31" i="8"/>
  <c r="S23" i="8"/>
  <c r="S15" i="8"/>
  <c r="S7" i="8"/>
  <c r="S30" i="8"/>
  <c r="S22" i="8"/>
  <c r="S14" i="8"/>
  <c r="S6" i="8"/>
  <c r="S27" i="8"/>
  <c r="S11" i="8"/>
  <c r="S26" i="8"/>
  <c r="S10" i="8"/>
  <c r="S29" i="8"/>
  <c r="S21" i="8"/>
  <c r="S13" i="8"/>
  <c r="S5" i="8"/>
  <c r="S28" i="8"/>
  <c r="S20" i="8"/>
  <c r="S12" i="8"/>
  <c r="S3" i="8"/>
  <c r="B15" i="8"/>
  <c r="B17" i="8"/>
  <c r="B18" i="8"/>
  <c r="B19" i="8"/>
  <c r="B20" i="8"/>
  <c r="B16" i="8"/>
  <c r="R3" i="8" l="1"/>
  <c r="R4" i="8"/>
  <c r="R12" i="8"/>
  <c r="R20" i="8"/>
  <c r="R28" i="8"/>
  <c r="R5" i="8"/>
  <c r="R13" i="8"/>
  <c r="R21" i="8"/>
  <c r="R29" i="8"/>
  <c r="R33" i="8"/>
  <c r="R18" i="8"/>
  <c r="R34" i="8"/>
  <c r="R19" i="8"/>
  <c r="R6" i="8"/>
  <c r="R14" i="8"/>
  <c r="R22" i="8"/>
  <c r="R30" i="8"/>
  <c r="R7" i="8"/>
  <c r="R15" i="8"/>
  <c r="R23" i="8"/>
  <c r="R31" i="8"/>
  <c r="R8" i="8"/>
  <c r="R16" i="8"/>
  <c r="R24" i="8"/>
  <c r="R32" i="8"/>
  <c r="R9" i="8"/>
  <c r="R17" i="8"/>
  <c r="R25" i="8"/>
  <c r="R10" i="8"/>
  <c r="R26" i="8"/>
  <c r="R11" i="8"/>
  <c r="R27" i="8"/>
  <c r="Q3" i="8"/>
  <c r="Q4" i="8"/>
  <c r="Q12" i="8"/>
  <c r="Q20" i="8"/>
  <c r="Q28" i="8"/>
  <c r="Q5" i="8"/>
  <c r="Q13" i="8"/>
  <c r="Q21" i="8"/>
  <c r="Q29" i="8"/>
  <c r="Q25" i="8"/>
  <c r="Q10" i="8"/>
  <c r="Q26" i="8"/>
  <c r="Q19" i="8"/>
  <c r="Q27" i="8"/>
  <c r="Q6" i="8"/>
  <c r="Q14" i="8"/>
  <c r="Q22" i="8"/>
  <c r="Q30" i="8"/>
  <c r="Q7" i="8"/>
  <c r="Q15" i="8"/>
  <c r="Q23" i="8"/>
  <c r="Q31" i="8"/>
  <c r="Q8" i="8"/>
  <c r="Q16" i="8"/>
  <c r="Q24" i="8"/>
  <c r="Q32" i="8"/>
  <c r="Q9" i="8"/>
  <c r="Q17" i="8"/>
  <c r="Q33" i="8"/>
  <c r="Q18" i="8"/>
  <c r="Q34" i="8"/>
  <c r="Q11" i="8"/>
  <c r="P3" i="8"/>
  <c r="P4" i="8"/>
  <c r="P12" i="8"/>
  <c r="P20" i="8"/>
  <c r="P28" i="8"/>
  <c r="P5" i="8"/>
  <c r="P13" i="8"/>
  <c r="P21" i="8"/>
  <c r="P17" i="8"/>
  <c r="P33" i="8"/>
  <c r="P18" i="8"/>
  <c r="P34" i="8"/>
  <c r="P19" i="8"/>
  <c r="P29" i="8"/>
  <c r="P6" i="8"/>
  <c r="P14" i="8"/>
  <c r="P22" i="8"/>
  <c r="P30" i="8"/>
  <c r="P7" i="8"/>
  <c r="P15" i="8"/>
  <c r="P23" i="8"/>
  <c r="P31" i="8"/>
  <c r="P8" i="8"/>
  <c r="P16" i="8"/>
  <c r="P24" i="8"/>
  <c r="P32" i="8"/>
  <c r="P9" i="8"/>
  <c r="P25" i="8"/>
  <c r="P10" i="8"/>
  <c r="P26" i="8"/>
  <c r="P11" i="8"/>
  <c r="P27" i="8"/>
  <c r="O3" i="8"/>
  <c r="O4" i="8"/>
  <c r="O12" i="8"/>
  <c r="O20" i="8"/>
  <c r="O28" i="8"/>
  <c r="O5" i="8"/>
  <c r="O13" i="8"/>
  <c r="O21" i="8"/>
  <c r="O29" i="8"/>
  <c r="O33" i="8"/>
  <c r="O6" i="8"/>
  <c r="O14" i="8"/>
  <c r="O22" i="8"/>
  <c r="O30" i="8"/>
  <c r="O7" i="8"/>
  <c r="O15" i="8"/>
  <c r="O23" i="8"/>
  <c r="O31" i="8"/>
  <c r="O8" i="8"/>
  <c r="O16" i="8"/>
  <c r="O24" i="8"/>
  <c r="O32" i="8"/>
  <c r="O9" i="8"/>
  <c r="O17" i="8"/>
  <c r="O25" i="8"/>
  <c r="O19" i="8"/>
  <c r="O10" i="8"/>
  <c r="O18" i="8"/>
  <c r="O26" i="8"/>
  <c r="O34" i="8"/>
  <c r="O11" i="8"/>
  <c r="O27" i="8"/>
  <c r="N3" i="8"/>
  <c r="N4" i="8"/>
  <c r="N12" i="8"/>
  <c r="N20" i="8"/>
  <c r="N28" i="8"/>
  <c r="N5" i="8"/>
  <c r="N13" i="8"/>
  <c r="N21" i="8"/>
  <c r="N29" i="8"/>
  <c r="N25" i="8"/>
  <c r="N10" i="8"/>
  <c r="N34" i="8"/>
  <c r="N19" i="8"/>
  <c r="N27" i="8"/>
  <c r="N6" i="8"/>
  <c r="N14" i="8"/>
  <c r="N22" i="8"/>
  <c r="N30" i="8"/>
  <c r="N7" i="8"/>
  <c r="N15" i="8"/>
  <c r="N23" i="8"/>
  <c r="N31" i="8"/>
  <c r="N8" i="8"/>
  <c r="N16" i="8"/>
  <c r="N24" i="8"/>
  <c r="N32" i="8"/>
  <c r="N9" i="8"/>
  <c r="N17" i="8"/>
  <c r="N33" i="8"/>
  <c r="N18" i="8"/>
  <c r="N26" i="8"/>
  <c r="N11" i="8"/>
  <c r="M3" i="8"/>
  <c r="M4" i="8"/>
  <c r="M12" i="8"/>
  <c r="M20" i="8"/>
  <c r="M28" i="8"/>
  <c r="M5" i="8"/>
  <c r="M13" i="8"/>
  <c r="M21" i="8"/>
  <c r="M29" i="8"/>
  <c r="M24" i="8"/>
  <c r="M9" i="8"/>
  <c r="M25" i="8"/>
  <c r="M10" i="8"/>
  <c r="M34" i="8"/>
  <c r="M11" i="8"/>
  <c r="M6" i="8"/>
  <c r="M14" i="8"/>
  <c r="M22" i="8"/>
  <c r="M30" i="8"/>
  <c r="M7" i="8"/>
  <c r="M15" i="8"/>
  <c r="M23" i="8"/>
  <c r="M31" i="8"/>
  <c r="M8" i="8"/>
  <c r="M16" i="8"/>
  <c r="M32" i="8"/>
  <c r="M17" i="8"/>
  <c r="M33" i="8"/>
  <c r="M18" i="8"/>
  <c r="M26" i="8"/>
  <c r="M19" i="8"/>
  <c r="M27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<sst xmlns="http://schemas.openxmlformats.org/spreadsheetml/2006/main" count="94" uniqueCount="55">
  <si>
    <t>Recurring Schedule</t>
  </si>
  <si>
    <t>Assignments</t>
  </si>
  <si>
    <t>Faculty</t>
  </si>
  <si>
    <t>Year</t>
  </si>
  <si>
    <t>Event Name</t>
  </si>
  <si>
    <t>Hours per Day</t>
  </si>
  <si>
    <t>Weekday</t>
  </si>
  <si>
    <t>Activity</t>
  </si>
  <si>
    <t>Due Date</t>
  </si>
  <si>
    <t>Category</t>
  </si>
  <si>
    <t>Saturday</t>
  </si>
  <si>
    <t>Sunday</t>
  </si>
  <si>
    <t>Time Spent</t>
  </si>
  <si>
    <t>Sleeping</t>
  </si>
  <si>
    <t>Wednesday</t>
  </si>
  <si>
    <t>Entertainment</t>
  </si>
  <si>
    <t>Friday</t>
  </si>
  <si>
    <t>Self Study</t>
  </si>
  <si>
    <t>Commute</t>
  </si>
  <si>
    <t>Expected Study Hours</t>
  </si>
  <si>
    <t>Day of week</t>
  </si>
  <si>
    <t>Monday</t>
  </si>
  <si>
    <t>Tuesday</t>
  </si>
  <si>
    <t>Thursday</t>
  </si>
  <si>
    <t>Day of Week</t>
  </si>
  <si>
    <t>Hours Available</t>
  </si>
  <si>
    <t>Arts</t>
  </si>
  <si>
    <t>Physics</t>
  </si>
  <si>
    <t>Test</t>
  </si>
  <si>
    <t>Engineering</t>
  </si>
  <si>
    <t>Chem</t>
  </si>
  <si>
    <t>Mathematics</t>
  </si>
  <si>
    <t>Enviroment</t>
  </si>
  <si>
    <t>Assignment</t>
  </si>
  <si>
    <t>Science</t>
  </si>
  <si>
    <t>Quiz</t>
  </si>
  <si>
    <t>Health</t>
  </si>
  <si>
    <t>Final</t>
  </si>
  <si>
    <t>Today's Date</t>
  </si>
  <si>
    <t>Weekday Today</t>
  </si>
  <si>
    <t>Midterm</t>
  </si>
  <si>
    <t>Next Sun</t>
  </si>
  <si>
    <t>Next Mon</t>
  </si>
  <si>
    <t>Next Tues</t>
  </si>
  <si>
    <t>Next Wed</t>
  </si>
  <si>
    <t>Next Thurs</t>
  </si>
  <si>
    <t>Next Fri</t>
  </si>
  <si>
    <t>Next Sat</t>
  </si>
  <si>
    <t>Categories:</t>
  </si>
  <si>
    <t xml:space="preserve"> </t>
  </si>
  <si>
    <t>Expected Completion Time (hrs)</t>
  </si>
  <si>
    <t>Reccomended Time (hrs)</t>
  </si>
  <si>
    <t>Actual Time (hrs)</t>
  </si>
  <si>
    <t>Average Time (hrs)</t>
  </si>
  <si>
    <t>Clubs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</si>
</sst>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Segoe UI"/>
      <family val="2"/>
    </font>
    <font>
      <sz val="11"/>
      <color theme="1"/>
      <name val="Segoe UI"/>
      <family val="2"/>
    </font>
    <font>
      <b/>
      <sz val="14"/>
      <color theme="1"/>
      <name val="Segoe UI"/>
      <family val="2"/>
    </font>
    <font>
      <b/>
      <sz val="16"/>
      <color theme="1"/>
      <name val="Segoe UI"/>
      <family val="2"/>
    </font>
    <font>
      <b/>
      <sz val="11"/>
      <color theme="1"/>
      <name val="Segoe  UI"/>
    </font>
    <font>
      <sz val="11"/>
      <color theme="1"/>
      <name val="Segoe  UI"/>
    </font>
    <font>
      <sz val="12"/>
      <color rgb="FF000000"/>
      <name val="Arial Rounded MT Bold"/>
      <family val="2"/>
    </font>
    <font>
      <b/>
      <sz val="11"/>
      <color theme="0"/>
      <name val="Segoe UI"/>
      <family val="2"/>
    </font>
    <font>
      <sz val="11"/>
      <color theme="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CE4D6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2" fillId="0" borderId="0" xfId="0" applyFont="1" applyAlignment="1">
      <alignment vertical="center"/>
    </xf>
    <xf numFmtId="0" fontId="0" fillId="0" borderId="15" xfId="0" applyBorder="1"/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14" fontId="5" fillId="0" borderId="5" xfId="0" applyNumberFormat="1" applyFont="1" applyBorder="1"/>
    <xf numFmtId="14" fontId="5" fillId="0" borderId="0" xfId="0" applyNumberFormat="1" applyFont="1"/>
    <xf numFmtId="0" fontId="5" fillId="0" borderId="0" xfId="0" applyFont="1"/>
    <xf numFmtId="0" fontId="5" fillId="0" borderId="6" xfId="0" applyFont="1" applyBorder="1"/>
    <xf numFmtId="0" fontId="5" fillId="0" borderId="5" xfId="0" applyFont="1" applyBorder="1"/>
    <xf numFmtId="0" fontId="5" fillId="0" borderId="1" xfId="0" applyFont="1" applyBorder="1"/>
    <xf numFmtId="0" fontId="5" fillId="0" borderId="7" xfId="0" applyFont="1" applyBorder="1"/>
    <xf numFmtId="0" fontId="5" fillId="0" borderId="2" xfId="0" applyFont="1" applyBorder="1"/>
    <xf numFmtId="0" fontId="5" fillId="0" borderId="12" xfId="0" applyFont="1" applyBorder="1"/>
    <xf numFmtId="14" fontId="5" fillId="0" borderId="14" xfId="0" applyNumberFormat="1" applyFont="1" applyBorder="1"/>
    <xf numFmtId="14" fontId="5" fillId="0" borderId="6" xfId="0" applyNumberFormat="1" applyFont="1" applyBorder="1"/>
    <xf numFmtId="14" fontId="5" fillId="0" borderId="2" xfId="0" applyNumberFormat="1" applyFont="1" applyBorder="1"/>
    <xf numFmtId="0" fontId="5" fillId="0" borderId="11" xfId="0" applyFont="1" applyBorder="1"/>
    <xf numFmtId="0" fontId="5" fillId="0" borderId="8" xfId="0" applyFont="1" applyBorder="1"/>
    <xf numFmtId="0" fontId="5" fillId="0" borderId="9" xfId="0" applyFont="1" applyBorder="1"/>
    <xf numFmtId="0" fontId="5" fillId="5" borderId="1" xfId="0" applyFont="1" applyFill="1" applyBorder="1"/>
    <xf numFmtId="0" fontId="5" fillId="3" borderId="13" xfId="0" applyFont="1" applyFill="1" applyBorder="1"/>
    <xf numFmtId="0" fontId="5" fillId="3" borderId="1" xfId="0" applyFont="1" applyFill="1" applyBorder="1"/>
    <xf numFmtId="0" fontId="5" fillId="3" borderId="5" xfId="0" applyFont="1" applyFill="1" applyBorder="1"/>
    <xf numFmtId="0" fontId="5" fillId="6" borderId="13" xfId="0" applyFont="1" applyFill="1" applyBorder="1"/>
    <xf numFmtId="0" fontId="5" fillId="6" borderId="5" xfId="0" applyFont="1" applyFill="1" applyBorder="1"/>
    <xf numFmtId="0" fontId="5" fillId="6" borderId="1" xfId="0" applyFont="1" applyFill="1" applyBorder="1"/>
    <xf numFmtId="0" fontId="5" fillId="7" borderId="0" xfId="0" applyFont="1" applyFill="1"/>
    <xf numFmtId="0" fontId="0" fillId="7" borderId="0" xfId="0" applyFill="1"/>
    <xf numFmtId="0" fontId="5" fillId="0" borderId="0" xfId="0" applyFont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9" fillId="0" borderId="2" xfId="0" applyFont="1" applyBorder="1"/>
    <xf numFmtId="0" fontId="5" fillId="0" borderId="6" xfId="0" applyFont="1" applyBorder="1" applyAlignment="1">
      <alignment horizontal="center"/>
    </xf>
    <xf numFmtId="14" fontId="5" fillId="0" borderId="7" xfId="0" applyNumberFormat="1" applyFont="1" applyBorder="1"/>
    <xf numFmtId="0" fontId="5" fillId="0" borderId="2" xfId="0" applyFont="1" applyBorder="1" applyAlignment="1">
      <alignment horizontal="center"/>
    </xf>
    <xf numFmtId="0" fontId="9" fillId="8" borderId="1" xfId="0" applyFont="1" applyFill="1" applyBorder="1"/>
    <xf numFmtId="0" fontId="0" fillId="9" borderId="0" xfId="0" applyFill="1"/>
    <xf numFmtId="0" fontId="11" fillId="0" borderId="0" xfId="0" applyFont="1"/>
    <xf numFmtId="0" fontId="12" fillId="0" borderId="0" xfId="0" applyFont="1"/>
    <xf numFmtId="0" fontId="6" fillId="4" borderId="0" xfId="0" applyFont="1" applyFill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5" fillId="10" borderId="5" xfId="0" applyFont="1" applyFill="1" applyBorder="1"/>
    <xf numFmtId="0" fontId="5" fillId="10" borderId="1" xfId="0" applyFont="1" applyFill="1" applyBorder="1"/>
    <xf numFmtId="0" fontId="0" fillId="0" borderId="0" xfId="0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</cellXfs>
  <cellStyles count="1">
    <cellStyle name="Normal" xfId="0" builtinId="0"/>
  </cellStyles>
  <dxfs count="4"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</dxfs>
  <tableStyles count="0" defaultTableStyle="TableStyleMedium2" defaultPivotStyle="PivotStyleLight16"/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7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7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139700</xdr:colOff>
          <xdr:row>13</xdr:row>
          <xdr:rowOff>82550</xdr:rowOff>
        </xdr:from>
        <xdr:to>
          <xdr:col>2</xdr:col>
          <xdr:colOff>558800</xdr:colOff>
          <xdr:row>16</xdr:row>
          <xdr:rowOff>63500</xdr:rowOff>
        </xdr:to>
        <xdr:sp macro="" textlink="">
          <xdr:nvSpPr>
            <xdr:cNvPr id="6153" name="EventButton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Arial Rounded MT Bold"/>
                </a:rPr>
                <a:t>Add Recurring Event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139700</xdr:colOff>
          <xdr:row>16</xdr:row>
          <xdr:rowOff>158750</xdr:rowOff>
        </xdr:from>
        <xdr:to>
          <xdr:col>2</xdr:col>
          <xdr:colOff>558800</xdr:colOff>
          <xdr:row>19</xdr:row>
          <xdr:rowOff>139700</xdr:rowOff>
        </xdr:to>
        <xdr:sp macro="" textlink="">
          <xdr:nvSpPr>
            <xdr:cNvPr id="6156" name="AssignmentButton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Arial Rounded MT Bold"/>
                </a:rPr>
                <a:t>Add Assignment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25400</xdr:rowOff>
        </xdr:from>
        <xdr:to>
          <xdr:col>2</xdr:col>
          <xdr:colOff>527050</xdr:colOff>
          <xdr:row>12</xdr:row>
          <xdr:rowOff>146050</xdr:rowOff>
        </xdr:to>
        <xdr:sp macro="" textlink="">
          <xdr:nvSpPr>
            <xdr:cNvPr id="6158" name="InfoButton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Arial Rounded MT Bold"/>
                </a:rPr>
                <a:t>Add User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50800</xdr:colOff>
          <xdr:row>5</xdr:row>
          <xdr:rowOff>6350</xdr:rowOff>
        </xdr:from>
        <xdr:to>
          <xdr:col>16</xdr:col>
          <xdr:colOff>298450</xdr:colOff>
          <xdr:row>7</xdr:row>
          <xdr:rowOff>196850</xdr:rowOff>
        </xdr:to>
        <xdr:sp macro="" textlink="">
          <xdr:nvSpPr>
            <xdr:cNvPr id="6159" name="CommandButton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336550</xdr:colOff>
          <xdr:row>1</xdr:row>
          <xdr:rowOff>38100</xdr:rowOff>
        </xdr:from>
        <xdr:to>
          <xdr:col>16</xdr:col>
          <xdr:colOff>44450</xdr:colOff>
          <xdr:row>3</xdr:row>
          <xdr:rowOff>196850</xdr:rowOff>
        </xdr:to>
        <xdr:sp macro="" textlink="">
          <xdr:nvSpPr>
            <xdr:cNvPr id="6160" name="CommandButton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273050</xdr:colOff>
          <xdr:row>12</xdr:row>
          <xdr:rowOff>184150</xdr:rowOff>
        </xdr:from>
        <xdr:to>
          <xdr:col>16</xdr:col>
          <xdr:colOff>88900</xdr:colOff>
          <xdr:row>16</xdr:row>
          <xdr:rowOff>31750</xdr:rowOff>
        </xdr:to>
        <xdr:sp macro="" textlink="">
          <xdr:nvSpPr>
            <xdr:cNvPr id="6161" name="CommandButton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276225</xdr:colOff>
      <xdr:row>0</xdr:row>
      <xdr:rowOff>57150</xdr:rowOff>
    </xdr:from>
    <xdr:to>
      <xdr:col>6</xdr:col>
      <xdr:colOff>514350</xdr:colOff>
      <xdr:row>0</xdr:row>
      <xdr:rowOff>295275</xdr:rowOff>
    </xdr:to>
    <xdr:pic>
      <xdr:nvPicPr>
        <xdr:cNvPr id="5" name="Graphic 4" descr="Clock outlin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334000" y="57150"/>
          <a:ext cx="238125" cy="238125"/>
        </a:xfrm>
        <a:prstGeom prst="rect">
          <a:avLst/>
        </a:prstGeom>
      </xdr:spPr>
    </xdr:pic>
    <xdr:clientData/>
  </xdr:twoCellAnchor>
  <xdr:twoCellAnchor editAs="oneCell">
    <xdr:from>
      <xdr:col>11</xdr:col>
      <xdr:colOff>781050</xdr:colOff>
      <xdr:row>0</xdr:row>
      <xdr:rowOff>0</xdr:rowOff>
    </xdr:from>
    <xdr:to>
      <xdr:col>11</xdr:col>
      <xdr:colOff>1133475</xdr:colOff>
      <xdr:row>1</xdr:row>
      <xdr:rowOff>28575</xdr:rowOff>
    </xdr:to>
    <xdr:pic>
      <xdr:nvPicPr>
        <xdr:cNvPr id="7" name="Graphic 6" descr="Graduation cap with solid fil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639300" y="0"/>
          <a:ext cx="352425" cy="3524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190500</xdr:colOff>
      <xdr:row>0</xdr:row>
      <xdr:rowOff>66675</xdr:rowOff>
    </xdr:from>
    <xdr:to>
      <xdr:col>5</xdr:col>
      <xdr:colOff>428625</xdr:colOff>
      <xdr:row>0</xdr:row>
      <xdr:rowOff>304800</xdr:rowOff>
    </xdr:to>
    <xdr:pic>
      <xdr:nvPicPr>
        <xdr:cNvPr id="2" name="Graphic 1" descr="Clock outlin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14925" y="66675"/>
          <a:ext cx="238125" cy="238125"/>
        </a:xfrm>
        <a:prstGeom prst="rect">
          <a:avLst/>
        </a:prstGeom>
      </xdr:spPr>
    </xdr:pic>
    <xdr:clientData/>
  </xdr:twoCellAnchor>
  <xdr:twoCellAnchor editAs="oneCell">
    <xdr:from>
      <xdr:col>11</xdr:col>
      <xdr:colOff>523875</xdr:colOff>
      <xdr:row>0</xdr:row>
      <xdr:rowOff>0</xdr:rowOff>
    </xdr:from>
    <xdr:to>
      <xdr:col>11</xdr:col>
      <xdr:colOff>876300</xdr:colOff>
      <xdr:row>1</xdr:row>
      <xdr:rowOff>28575</xdr:rowOff>
    </xdr:to>
    <xdr:pic>
      <xdr:nvPicPr>
        <xdr:cNvPr id="3" name="Graphic 2" descr="Graduation cap with solid fill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191750" y="0"/>
          <a:ext cx="352425" cy="3524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273050</xdr:colOff>
          <xdr:row>3</xdr:row>
          <xdr:rowOff>127000</xdr:rowOff>
        </xdr:from>
        <xdr:to>
          <xdr:col>5</xdr:col>
          <xdr:colOff>298450</xdr:colOff>
          <xdr:row>7</xdr:row>
          <xdr:rowOff>63500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4</xdr:row>
          <xdr:rowOff>0</xdr:rowOff>
        </xdr:from>
        <xdr:to>
          <xdr:col>14</xdr:col>
          <xdr:colOff>273050</xdr:colOff>
          <xdr:row>6</xdr:row>
          <xdr:rowOff>146050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3</xdr:row>
          <xdr:rowOff>114300</xdr:rowOff>
        </xdr:from>
        <xdr:to>
          <xdr:col>10</xdr:col>
          <xdr:colOff>298450</xdr:colOff>
          <xdr:row>7</xdr:row>
          <xdr:rowOff>38100</xdr:rowOff>
        </xdr:to>
        <xdr:sp macro="" textlink="">
          <xdr:nvSpPr>
            <xdr:cNvPr id="7171" name="RecButton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390525</xdr:colOff>
      <xdr:row>3</xdr:row>
      <xdr:rowOff>19050</xdr:rowOff>
    </xdr:from>
    <xdr:to>
      <xdr:col>2</xdr:col>
      <xdr:colOff>142875</xdr:colOff>
      <xdr:row>7</xdr:row>
      <xdr:rowOff>171450</xdr:rowOff>
    </xdr:to>
    <xdr:pic>
      <xdr:nvPicPr>
        <xdr:cNvPr id="3" name="Graphic 2" descr="Bar chart outlin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" y="5905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5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BE962-7B65-41FB-83D7-4FE65DB27A5E}">
  <sheetPr codeName="Sheet5"/>
  <dimension ref="A1:S34"/>
  <sheetViews>
    <sheetView tabSelected="1" workbookViewId="0">
      <selection activeCell="O23" sqref="O23"/>
    </sheetView>
  </sheetViews>
  <sheetFormatPr defaultColWidth="8.81640625" defaultRowHeight="14.5"/>
  <cols>
    <col min="1" max="1" width="3.81640625" customWidth="1"/>
    <col min="2" max="2" width="14.453125" bestFit="1" customWidth="1"/>
    <col min="3" max="3" width="12.81640625" customWidth="1"/>
    <col min="5" max="5" width="21.1796875" customWidth="1"/>
    <col min="6" max="6" width="15" style="7" customWidth="1"/>
    <col min="7" max="7" width="14" customWidth="1"/>
    <col min="9" max="9" width="10.453125" customWidth="1"/>
    <col min="10" max="10" width="11.90625" bestFit="1" customWidth="1"/>
    <col min="11" max="11" width="12" bestFit="1" customWidth="1"/>
    <col min="12" max="12" width="34.1796875" style="7" bestFit="1" customWidth="1"/>
  </cols>
  <sheetData>
    <row r="1" spans="1:19" ht="25">
      <c r="A1" s="44"/>
      <c r="B1" s="44"/>
      <c r="C1" s="44"/>
      <c r="D1" s="44"/>
      <c r="E1" s="47" t="s">
        <v>0</v>
      </c>
      <c r="F1" s="47"/>
      <c r="G1" s="47"/>
      <c r="H1" s="44"/>
      <c r="I1" s="48" t="s">
        <v>1</v>
      </c>
      <c r="J1" s="48"/>
      <c r="K1" s="48"/>
      <c r="L1" s="49"/>
      <c r="M1" s="5"/>
      <c r="N1" s="5"/>
      <c r="O1" s="5"/>
      <c r="P1" s="5"/>
      <c r="Q1" s="5"/>
      <c r="R1" s="5"/>
      <c r="S1" s="5"/>
    </row>
    <row r="2" spans="1:19" ht="16.5">
      <c r="B2" s="37" t="s">
        <v>2</v>
      </c>
      <c r="C2" s="38" t="s">
        <v>3</v>
      </c>
      <c r="E2" s="9" t="s">
        <v>4</v>
      </c>
      <c r="F2" s="10" t="s">
        <v>5</v>
      </c>
      <c r="G2" s="11" t="s">
        <v>6</v>
      </c>
      <c r="I2" s="9" t="s">
        <v>7</v>
      </c>
      <c r="J2" s="10" t="s">
        <v>8</v>
      </c>
      <c r="K2" s="10" t="s">
        <v>9</v>
      </c>
      <c r="L2" s="11" t="s">
        <v>50</v>
      </c>
    </row>
    <row r="3" spans="1:19" ht="16.5">
      <c r="B3" s="43" t="str" cm="1">
        <f t="array" ref="B3:C3">Data!A3:B3</f>
        <v>Arts</v>
      </c>
      <c r="C3" s="39">
        <v>2</v>
      </c>
      <c r="E3" s="16" t="s">
        <v>54</v>
      </c>
      <c r="F3" s="36">
        <v>2</v>
      </c>
      <c r="G3" s="15" t="s">
        <v>21</v>
      </c>
      <c r="I3" s="12" t="str" cm="1">
        <f t="array" ref="I3:J34">Data!H3:I34</f>
        <v>Physics</v>
      </c>
      <c r="J3" s="13">
        <v>44866</v>
      </c>
      <c r="K3" s="13" t="str" cm="1">
        <f t="array" ref="K3:L34">Data!K3:L34</f>
        <v>Test</v>
      </c>
      <c r="L3" s="40">
        <v>4</v>
      </c>
    </row>
    <row r="4" spans="1:19" ht="16.5">
      <c r="E4" s="16" t="s">
        <v>54</v>
      </c>
      <c r="F4" s="36">
        <v>2</v>
      </c>
      <c r="G4" s="15" t="s">
        <v>14</v>
      </c>
      <c r="I4" s="16" t="str">
        <v>Chem</v>
      </c>
      <c r="J4" s="13">
        <v>44891</v>
      </c>
      <c r="K4" s="14" t="str">
        <v>Test</v>
      </c>
      <c r="L4" s="40">
        <v>2</v>
      </c>
    </row>
    <row r="5" spans="1:19" ht="16.5">
      <c r="B5" s="9" t="s">
        <v>7</v>
      </c>
      <c r="C5" s="11" t="s">
        <v>12</v>
      </c>
      <c r="E5" s="16" t="s">
        <v>54</v>
      </c>
      <c r="F5" s="36">
        <v>2</v>
      </c>
      <c r="G5" s="15" t="s">
        <v>16</v>
      </c>
      <c r="I5" s="16">
        <v>0</v>
      </c>
      <c r="J5" s="13">
        <v>0</v>
      </c>
      <c r="K5" s="14">
        <v>0</v>
      </c>
      <c r="L5" s="40">
        <v>0</v>
      </c>
    </row>
    <row r="6" spans="1:19" ht="16.5">
      <c r="B6" s="30" t="s">
        <v>13</v>
      </c>
      <c r="C6" s="15" cm="1">
        <f t="array" ref="C6:C9">Data!B6:B9</f>
        <v>7</v>
      </c>
      <c r="E6" s="16"/>
      <c r="F6" s="36"/>
      <c r="G6" s="15"/>
      <c r="I6" s="16">
        <v>0</v>
      </c>
      <c r="J6" s="13">
        <v>0</v>
      </c>
      <c r="K6" s="14">
        <v>0</v>
      </c>
      <c r="L6" s="40">
        <v>0</v>
      </c>
    </row>
    <row r="7" spans="1:19" ht="16.5">
      <c r="B7" s="30" t="s">
        <v>15</v>
      </c>
      <c r="C7" s="15">
        <v>2</v>
      </c>
      <c r="E7" s="16"/>
      <c r="F7" s="36"/>
      <c r="G7" s="15"/>
      <c r="I7" s="16">
        <v>0</v>
      </c>
      <c r="J7" s="13">
        <v>0</v>
      </c>
      <c r="K7" s="14">
        <v>0</v>
      </c>
      <c r="L7" s="40">
        <v>0</v>
      </c>
    </row>
    <row r="8" spans="1:19" ht="16.5">
      <c r="B8" s="30" t="s">
        <v>17</v>
      </c>
      <c r="C8" s="15">
        <v>9</v>
      </c>
      <c r="E8" s="16"/>
      <c r="F8" s="36"/>
      <c r="G8" s="15"/>
      <c r="I8" s="16">
        <v>0</v>
      </c>
      <c r="J8" s="13">
        <v>0</v>
      </c>
      <c r="K8" s="14">
        <v>0</v>
      </c>
      <c r="L8" s="40">
        <v>0</v>
      </c>
    </row>
    <row r="9" spans="1:19" ht="16.5">
      <c r="B9" s="29" t="s">
        <v>18</v>
      </c>
      <c r="C9" s="19">
        <v>2</v>
      </c>
      <c r="E9" s="16"/>
      <c r="F9" s="36"/>
      <c r="G9" s="15"/>
      <c r="I9" s="16">
        <v>0</v>
      </c>
      <c r="J9" s="13">
        <v>0</v>
      </c>
      <c r="K9" s="14">
        <v>0</v>
      </c>
      <c r="L9" s="40">
        <v>0</v>
      </c>
    </row>
    <row r="10" spans="1:19" ht="16.5">
      <c r="B10" s="6"/>
      <c r="E10" s="16"/>
      <c r="F10" s="36"/>
      <c r="G10" s="15"/>
      <c r="I10" s="16">
        <v>0</v>
      </c>
      <c r="J10" s="13">
        <v>0</v>
      </c>
      <c r="K10" s="14">
        <v>0</v>
      </c>
      <c r="L10" s="40">
        <v>0</v>
      </c>
    </row>
    <row r="11" spans="1:19" ht="16.5">
      <c r="E11" s="16"/>
      <c r="F11" s="36"/>
      <c r="G11" s="15"/>
      <c r="I11" s="16">
        <v>0</v>
      </c>
      <c r="J11" s="13">
        <v>0</v>
      </c>
      <c r="K11" s="14">
        <v>0</v>
      </c>
      <c r="L11" s="40">
        <v>0</v>
      </c>
    </row>
    <row r="12" spans="1:19" ht="16.5">
      <c r="E12" s="16"/>
      <c r="F12" s="36"/>
      <c r="G12" s="15"/>
      <c r="I12" s="16">
        <v>0</v>
      </c>
      <c r="J12" s="13">
        <v>0</v>
      </c>
      <c r="K12" s="14">
        <v>0</v>
      </c>
      <c r="L12" s="40">
        <v>0</v>
      </c>
    </row>
    <row r="13" spans="1:19" ht="16.5">
      <c r="E13" s="3"/>
      <c r="G13" s="4"/>
      <c r="I13" s="16">
        <v>0</v>
      </c>
      <c r="J13" s="13">
        <v>0</v>
      </c>
      <c r="K13" s="14">
        <v>0</v>
      </c>
      <c r="L13" s="40">
        <v>0</v>
      </c>
    </row>
    <row r="14" spans="1:19" ht="16.5">
      <c r="E14" s="3"/>
      <c r="G14" s="4"/>
      <c r="I14" s="16">
        <v>0</v>
      </c>
      <c r="J14" s="13">
        <v>0</v>
      </c>
      <c r="K14" s="14">
        <v>0</v>
      </c>
      <c r="L14" s="40">
        <v>0</v>
      </c>
    </row>
    <row r="15" spans="1:19" ht="16.5">
      <c r="E15" s="3"/>
      <c r="G15" s="4"/>
      <c r="I15" s="16">
        <v>0</v>
      </c>
      <c r="J15" s="13">
        <v>0</v>
      </c>
      <c r="K15" s="14">
        <v>0</v>
      </c>
      <c r="L15" s="40">
        <v>0</v>
      </c>
    </row>
    <row r="16" spans="1:19" ht="16.5">
      <c r="E16" s="3"/>
      <c r="G16" s="4"/>
      <c r="I16" s="16">
        <v>0</v>
      </c>
      <c r="J16" s="13">
        <v>0</v>
      </c>
      <c r="K16" s="14">
        <v>0</v>
      </c>
      <c r="L16" s="40">
        <v>0</v>
      </c>
    </row>
    <row r="17" spans="5:12" ht="16.5">
      <c r="E17" s="3"/>
      <c r="G17" s="4"/>
      <c r="I17" s="16">
        <v>0</v>
      </c>
      <c r="J17" s="13">
        <v>0</v>
      </c>
      <c r="K17" s="14">
        <v>0</v>
      </c>
      <c r="L17" s="40">
        <v>0</v>
      </c>
    </row>
    <row r="18" spans="5:12" ht="16.5">
      <c r="E18" s="3"/>
      <c r="G18" s="4"/>
      <c r="I18" s="16">
        <v>0</v>
      </c>
      <c r="J18" s="13">
        <v>0</v>
      </c>
      <c r="K18" s="14">
        <v>0</v>
      </c>
      <c r="L18" s="40">
        <v>0</v>
      </c>
    </row>
    <row r="19" spans="5:12" ht="16.5">
      <c r="E19" s="3"/>
      <c r="G19" s="4"/>
      <c r="I19" s="16">
        <v>0</v>
      </c>
      <c r="J19" s="13">
        <v>0</v>
      </c>
      <c r="K19" s="14">
        <v>0</v>
      </c>
      <c r="L19" s="40">
        <v>0</v>
      </c>
    </row>
    <row r="20" spans="5:12" ht="16.5">
      <c r="E20" s="3"/>
      <c r="G20" s="4"/>
      <c r="I20" s="16">
        <v>0</v>
      </c>
      <c r="J20" s="13">
        <v>0</v>
      </c>
      <c r="K20" s="14">
        <v>0</v>
      </c>
      <c r="L20" s="40">
        <v>0</v>
      </c>
    </row>
    <row r="21" spans="5:12" ht="16.5">
      <c r="E21" s="3"/>
      <c r="G21" s="4"/>
      <c r="I21" s="16">
        <v>0</v>
      </c>
      <c r="J21" s="13">
        <v>0</v>
      </c>
      <c r="K21" s="14">
        <v>0</v>
      </c>
      <c r="L21" s="40">
        <v>0</v>
      </c>
    </row>
    <row r="22" spans="5:12" ht="16.5">
      <c r="E22" s="3"/>
      <c r="G22" s="4"/>
      <c r="I22" s="16">
        <v>0</v>
      </c>
      <c r="J22" s="13">
        <v>0</v>
      </c>
      <c r="K22" s="14">
        <v>0</v>
      </c>
      <c r="L22" s="40">
        <v>0</v>
      </c>
    </row>
    <row r="23" spans="5:12" ht="16.5">
      <c r="E23" s="3"/>
      <c r="G23" s="4"/>
      <c r="I23" s="16">
        <v>0</v>
      </c>
      <c r="J23" s="13">
        <v>0</v>
      </c>
      <c r="K23" s="14">
        <v>0</v>
      </c>
      <c r="L23" s="40">
        <v>0</v>
      </c>
    </row>
    <row r="24" spans="5:12" ht="16.5">
      <c r="E24" s="3"/>
      <c r="G24" s="4"/>
      <c r="I24" s="16">
        <v>0</v>
      </c>
      <c r="J24" s="13">
        <v>0</v>
      </c>
      <c r="K24" s="14">
        <v>0</v>
      </c>
      <c r="L24" s="40">
        <v>0</v>
      </c>
    </row>
    <row r="25" spans="5:12" ht="16.5">
      <c r="E25" s="3"/>
      <c r="G25" s="4"/>
      <c r="I25" s="16">
        <v>0</v>
      </c>
      <c r="J25" s="13">
        <v>0</v>
      </c>
      <c r="K25" s="14">
        <v>0</v>
      </c>
      <c r="L25" s="40">
        <v>0</v>
      </c>
    </row>
    <row r="26" spans="5:12" ht="16.5">
      <c r="E26" s="3"/>
      <c r="G26" s="4"/>
      <c r="I26" s="16">
        <v>0</v>
      </c>
      <c r="J26" s="13">
        <v>0</v>
      </c>
      <c r="K26" s="14">
        <v>0</v>
      </c>
      <c r="L26" s="40">
        <v>0</v>
      </c>
    </row>
    <row r="27" spans="5:12" ht="16.5">
      <c r="E27" s="3"/>
      <c r="G27" s="4"/>
      <c r="I27" s="16">
        <v>0</v>
      </c>
      <c r="J27" s="13">
        <v>0</v>
      </c>
      <c r="K27" s="14">
        <v>0</v>
      </c>
      <c r="L27" s="40">
        <v>0</v>
      </c>
    </row>
    <row r="28" spans="5:12" ht="16.5">
      <c r="E28" s="3"/>
      <c r="G28" s="4"/>
      <c r="I28" s="16">
        <v>0</v>
      </c>
      <c r="J28" s="13">
        <v>0</v>
      </c>
      <c r="K28" s="14">
        <v>0</v>
      </c>
      <c r="L28" s="40">
        <v>0</v>
      </c>
    </row>
    <row r="29" spans="5:12" ht="16.5">
      <c r="E29" s="3"/>
      <c r="G29" s="4"/>
      <c r="I29" s="16">
        <v>0</v>
      </c>
      <c r="J29" s="13">
        <v>0</v>
      </c>
      <c r="K29" s="14">
        <v>0</v>
      </c>
      <c r="L29" s="40">
        <v>0</v>
      </c>
    </row>
    <row r="30" spans="5:12" ht="16.5">
      <c r="E30" s="3"/>
      <c r="G30" s="4"/>
      <c r="I30" s="16">
        <v>0</v>
      </c>
      <c r="J30" s="13">
        <v>0</v>
      </c>
      <c r="K30" s="14">
        <v>0</v>
      </c>
      <c r="L30" s="40">
        <v>0</v>
      </c>
    </row>
    <row r="31" spans="5:12" ht="16.5">
      <c r="E31" s="3"/>
      <c r="G31" s="4"/>
      <c r="I31" s="16">
        <v>0</v>
      </c>
      <c r="J31" s="13">
        <v>0</v>
      </c>
      <c r="K31" s="14">
        <v>0</v>
      </c>
      <c r="L31" s="40">
        <v>0</v>
      </c>
    </row>
    <row r="32" spans="5:12" ht="16.5">
      <c r="E32" s="3"/>
      <c r="G32" s="4"/>
      <c r="I32" s="16">
        <v>0</v>
      </c>
      <c r="J32" s="13">
        <v>0</v>
      </c>
      <c r="K32" s="14">
        <v>0</v>
      </c>
      <c r="L32" s="40">
        <v>0</v>
      </c>
    </row>
    <row r="33" spans="5:12" ht="16.5">
      <c r="E33" s="3"/>
      <c r="G33" s="4"/>
      <c r="I33" s="16">
        <v>0</v>
      </c>
      <c r="J33" s="13">
        <v>0</v>
      </c>
      <c r="K33" s="14">
        <v>0</v>
      </c>
      <c r="L33" s="40">
        <v>0</v>
      </c>
    </row>
    <row r="34" spans="5:12" ht="16.5">
      <c r="E34" s="1"/>
      <c r="F34" s="8"/>
      <c r="G34" s="2"/>
      <c r="I34" s="17">
        <v>0</v>
      </c>
      <c r="J34" s="41">
        <v>0</v>
      </c>
      <c r="K34" s="18">
        <v>0</v>
      </c>
      <c r="L34" s="42">
        <v>0</v>
      </c>
    </row>
  </sheetData>
  <mergeCells count="2">
    <mergeCell ref="E1:G1"/>
    <mergeCell ref="I1:L1"/>
  </mergeCells>
  <conditionalFormatting sqref="E3:G34">
    <cfRule type="cellIs" dxfId="3" priority="4" operator="equal">
      <formula>0</formula>
    </cfRule>
  </conditionalFormatting>
  <conditionalFormatting sqref="I3:L34">
    <cfRule type="cellIs" dxfId="2" priority="3" operator="equal">
      <formula>0</formula>
    </cfRule>
  </conditionalFormatting>
  <conditionalFormatting sqref="B3:C3">
    <cfRule type="cellIs" dxfId="1" priority="2" operator="equal">
      <formula>0</formula>
    </cfRule>
  </conditionalFormatting>
  <conditionalFormatting sqref="C6:C9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9" r:id="rId4" name="CommandButton1">
          <controlPr defaultSize="0" autoLine="0" r:id="rId5">
            <anchor moveWithCells="1">
              <from>
                <xdr:col>13</xdr:col>
                <xdr:colOff>50800</xdr:colOff>
                <xdr:row>5</xdr:row>
                <xdr:rowOff>6350</xdr:rowOff>
              </from>
              <to>
                <xdr:col>16</xdr:col>
                <xdr:colOff>298450</xdr:colOff>
                <xdr:row>7</xdr:row>
                <xdr:rowOff>196850</xdr:rowOff>
              </to>
            </anchor>
          </controlPr>
        </control>
      </mc:Choice>
      <mc:Fallback>
        <control shapeId="6159" r:id="rId4" name="CommandButton1"/>
      </mc:Fallback>
    </mc:AlternateContent>
    <mc:AlternateContent xmlns:mc="http://schemas.openxmlformats.org/markup-compatibility/2006">
      <mc:Choice Requires="x14">
        <control shapeId="6160" r:id="rId6" name="CommandButton2">
          <controlPr defaultSize="0" autoLine="0" r:id="rId7">
            <anchor moveWithCells="1">
              <from>
                <xdr:col>13</xdr:col>
                <xdr:colOff>336550</xdr:colOff>
                <xdr:row>1</xdr:row>
                <xdr:rowOff>38100</xdr:rowOff>
              </from>
              <to>
                <xdr:col>16</xdr:col>
                <xdr:colOff>44450</xdr:colOff>
                <xdr:row>3</xdr:row>
                <xdr:rowOff>196850</xdr:rowOff>
              </to>
            </anchor>
          </controlPr>
        </control>
      </mc:Choice>
      <mc:Fallback>
        <control shapeId="6160" r:id="rId6" name="CommandButton2"/>
      </mc:Fallback>
    </mc:AlternateContent>
    <mc:AlternateContent xmlns:mc="http://schemas.openxmlformats.org/markup-compatibility/2006">
      <mc:Choice Requires="x14">
        <control shapeId="6161" r:id="rId8" name="CommandButton3">
          <controlPr defaultSize="0" autoFill="0" autoLine="0" r:id="rId9">
            <anchor moveWithCells="1">
              <from>
                <xdr:col>13</xdr:col>
                <xdr:colOff>273050</xdr:colOff>
                <xdr:row>12</xdr:row>
                <xdr:rowOff>184150</xdr:rowOff>
              </from>
              <to>
                <xdr:col>16</xdr:col>
                <xdr:colOff>88900</xdr:colOff>
                <xdr:row>16</xdr:row>
                <xdr:rowOff>31750</xdr:rowOff>
              </to>
            </anchor>
          </controlPr>
        </control>
      </mc:Choice>
      <mc:Fallback>
        <control shapeId="6161" r:id="rId8" name="CommandButton3"/>
      </mc:Fallback>
    </mc:AlternateContent>
    <mc:AlternateContent xmlns:mc="http://schemas.openxmlformats.org/markup-compatibility/2006">
      <mc:Choice Requires="x14">
        <control shapeId="6153" r:id="rId10" name="EventButton">
          <controlPr defaultSize="0" print="0" autoFill="0" autoPict="0" macro="[0]!addSchedule">
            <anchor moveWithCells="1" sizeWithCells="1">
              <from>
                <xdr:col>1</xdr:col>
                <xdr:colOff>139700</xdr:colOff>
                <xdr:row>13</xdr:row>
                <xdr:rowOff>82550</xdr:rowOff>
              </from>
              <to>
                <xdr:col>2</xdr:col>
                <xdr:colOff>558800</xdr:colOff>
                <xdr:row>16</xdr:row>
                <xdr:rowOff>63500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6" r:id="rId11" name="AssignmentButton">
          <controlPr defaultSize="0" print="0" autoFill="0" autoPict="0" macro="[0]!addAssignment">
            <anchor moveWithCells="1" sizeWithCells="1">
              <from>
                <xdr:col>1</xdr:col>
                <xdr:colOff>139700</xdr:colOff>
                <xdr:row>16</xdr:row>
                <xdr:rowOff>158750</xdr:rowOff>
              </from>
              <to>
                <xdr:col>2</xdr:col>
                <xdr:colOff>558800</xdr:colOff>
                <xdr:row>19</xdr:row>
                <xdr:rowOff>139700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8" r:id="rId12" name="InfoButton">
          <controlPr defaultSize="0" print="0" autoFill="0" autoPict="0" macro="[0]!addUserInfo">
            <anchor moveWithCells="1">
              <from>
                <xdr:col>1</xdr:col>
                <xdr:colOff>152400</xdr:colOff>
                <xdr:row>10</xdr:row>
                <xdr:rowOff>25400</xdr:rowOff>
              </from>
              <to>
                <xdr:col>2</xdr:col>
                <xdr:colOff>527050</xdr:colOff>
                <xdr:row>12</xdr:row>
                <xdr:rowOff>146050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A47C3-7C76-4A7F-8464-D14A7F5738F7}">
  <sheetPr codeName="Sheet3"/>
  <dimension ref="A1:AD34"/>
  <sheetViews>
    <sheetView workbookViewId="0">
      <selection activeCell="D4" sqref="D4"/>
    </sheetView>
  </sheetViews>
  <sheetFormatPr defaultColWidth="8.81640625" defaultRowHeight="14.5"/>
  <cols>
    <col min="1" max="1" width="16.1796875" bestFit="1" customWidth="1"/>
    <col min="2" max="2" width="12.54296875" customWidth="1"/>
    <col min="3" max="3" width="8.81640625" customWidth="1"/>
    <col min="4" max="4" width="21.1796875" customWidth="1"/>
    <col min="5" max="5" width="15" customWidth="1"/>
    <col min="6" max="6" width="14" customWidth="1"/>
    <col min="7" max="7" width="9.08984375" customWidth="1"/>
    <col min="8" max="8" width="10.453125" bestFit="1" customWidth="1"/>
    <col min="9" max="9" width="11.90625" bestFit="1" customWidth="1"/>
    <col min="10" max="10" width="13.81640625" bestFit="1" customWidth="1"/>
    <col min="11" max="11" width="12" bestFit="1" customWidth="1"/>
    <col min="12" max="12" width="34.1796875" bestFit="1" customWidth="1"/>
    <col min="13" max="19" width="11.81640625" customWidth="1"/>
    <col min="21" max="21" width="13.1796875" customWidth="1"/>
    <col min="22" max="22" width="26.90625" bestFit="1" customWidth="1"/>
    <col min="23" max="23" width="19" bestFit="1" customWidth="1"/>
    <col min="25" max="25" width="14.08984375" bestFit="1" customWidth="1"/>
    <col min="26" max="26" width="17.08984375" bestFit="1" customWidth="1"/>
    <col min="28" max="28" width="13.1796875" bestFit="1" customWidth="1"/>
    <col min="29" max="29" width="20.90625" bestFit="1" customWidth="1"/>
  </cols>
  <sheetData>
    <row r="1" spans="1:30" ht="25">
      <c r="A1" s="34"/>
      <c r="B1" s="34"/>
      <c r="C1" s="34"/>
      <c r="D1" s="47" t="s">
        <v>0</v>
      </c>
      <c r="E1" s="47"/>
      <c r="F1" s="47"/>
      <c r="G1" s="35"/>
      <c r="H1" s="49" t="s">
        <v>1</v>
      </c>
      <c r="I1" s="49"/>
      <c r="J1" s="49"/>
      <c r="K1" s="49"/>
      <c r="L1" s="49"/>
      <c r="M1" s="34"/>
      <c r="N1" s="34"/>
      <c r="O1" s="34"/>
      <c r="P1" s="34"/>
      <c r="Q1" s="34"/>
      <c r="R1" s="34"/>
      <c r="S1" s="34"/>
      <c r="T1" s="35"/>
      <c r="U1" s="34"/>
      <c r="V1" s="34"/>
      <c r="W1" s="34"/>
      <c r="X1" s="35"/>
      <c r="Y1" s="34"/>
      <c r="Z1" s="34"/>
      <c r="AA1" s="50" t="s">
        <v>19</v>
      </c>
      <c r="AB1" s="50"/>
      <c r="AC1" s="50"/>
      <c r="AD1" s="50"/>
    </row>
    <row r="2" spans="1:30" ht="16.5">
      <c r="A2" s="9" t="s">
        <v>2</v>
      </c>
      <c r="B2" s="11" t="s">
        <v>3</v>
      </c>
      <c r="C2" s="14"/>
      <c r="D2" s="9" t="s">
        <v>4</v>
      </c>
      <c r="E2" s="10" t="s">
        <v>5</v>
      </c>
      <c r="F2" s="11" t="s">
        <v>6</v>
      </c>
      <c r="H2" s="9" t="s">
        <v>7</v>
      </c>
      <c r="I2" s="10" t="s">
        <v>8</v>
      </c>
      <c r="J2" s="10" t="s">
        <v>20</v>
      </c>
      <c r="K2" s="10" t="s">
        <v>9</v>
      </c>
      <c r="L2" s="10" t="s">
        <v>50</v>
      </c>
      <c r="M2" s="10" t="s">
        <v>11</v>
      </c>
      <c r="N2" s="10" t="s">
        <v>21</v>
      </c>
      <c r="O2" s="10" t="s">
        <v>22</v>
      </c>
      <c r="P2" s="10" t="s">
        <v>14</v>
      </c>
      <c r="Q2" s="10" t="s">
        <v>23</v>
      </c>
      <c r="R2" s="10" t="s">
        <v>16</v>
      </c>
      <c r="S2" s="11" t="s">
        <v>10</v>
      </c>
      <c r="U2" s="9" t="s">
        <v>7</v>
      </c>
      <c r="V2" s="10" t="s">
        <v>51</v>
      </c>
      <c r="W2" s="11" t="s">
        <v>52</v>
      </c>
      <c r="Y2" s="9" t="s">
        <v>24</v>
      </c>
      <c r="Z2" s="11" t="s">
        <v>25</v>
      </c>
      <c r="AA2" s="14"/>
      <c r="AB2" s="9" t="s">
        <v>2</v>
      </c>
      <c r="AC2" s="11" t="s">
        <v>53</v>
      </c>
      <c r="AD2" s="14"/>
    </row>
    <row r="3" spans="1:30" ht="16.5">
      <c r="A3" s="27" t="s">
        <v>26</v>
      </c>
      <c r="B3" s="19">
        <v>2</v>
      </c>
      <c r="C3" s="14"/>
      <c r="D3" s="16" t="str">
        <f>Input!E3</f>
        <v>Clubs</v>
      </c>
      <c r="E3" s="14">
        <v>1</v>
      </c>
      <c r="F3" s="15" t="str">
        <f>Input!G3</f>
        <v>Monday</v>
      </c>
      <c r="H3" s="12" t="s">
        <v>27</v>
      </c>
      <c r="I3" s="13">
        <v>44866</v>
      </c>
      <c r="J3" s="14">
        <f>WEEKDAY(I3)</f>
        <v>3</v>
      </c>
      <c r="K3" s="13" t="s">
        <v>28</v>
      </c>
      <c r="L3" s="14">
        <v>4</v>
      </c>
      <c r="M3" s="14">
        <f ca="1">IF((IF(WEEKDAY(I3)&lt;&gt;1,ROUNDDOWN((_xlfn.DAYS(I3,$B$15)/7)+1,0),ROUNDDOWN((_xlfn.DAYS(I3,$B$15)/7),0)))&gt;0,IF(WEEKDAY(I3)&lt;&gt;1,ROUNDDOWN((_xlfn.DAYS(I3,$B$15)/7)+1,0),ROUNDDOWN((_xlfn.DAYS(I3,$B$15)/7),0)),0)</f>
        <v>0</v>
      </c>
      <c r="N3" s="14">
        <f ca="1">IF((IF(WEEKDAY(I3)&lt;&gt;2,ROUNDDOWN((_xlfn.DAYS(I3,$B$16)/7)+1,0),ROUNDDOWN((_xlfn.DAYS(I3,$B$16)/7),0)))&gt;0,IF(WEEKDAY(I3)&lt;&gt;2,ROUNDDOWN((_xlfn.DAYS(I3,$B$16)/7)+1,0),ROUNDDOWN((_xlfn.DAYS(I3,$B$16)/7),0)),0)</f>
        <v>0</v>
      </c>
      <c r="O3" s="14">
        <f ca="1">IF((IF(WEEKDAY(I3)&lt;&gt;3,ROUNDDOWN((_xlfn.DAYS(I3,$B$17)/7)+1,0),ROUNDDOWN((_xlfn.DAYS(I3,$B$17)/7),0)))&gt;0,IF(WEEKDAY(I3)&lt;&gt;3,ROUNDDOWN((_xlfn.DAYS(I3,$B$17)/7)+1,0),ROUNDDOWN((_xlfn.DAYS(I3,$B$17)/7),0)),0)</f>
        <v>0</v>
      </c>
      <c r="P3" s="14">
        <f ca="1">IF((IF(WEEKDAY(I3)&lt;&gt;4,ROUNDDOWN((_xlfn.DAYS(I3,$B$18)/7)+1,0),ROUNDDOWN((_xlfn.DAYS(I3,$B$18)/7),0)))&gt;0,IF(WEEKDAY(I3)&lt;&gt;4,ROUNDDOWN((_xlfn.DAYS(I3,$B$18)/7)+1,0),ROUNDDOWN((_xlfn.DAYS(I3,$B$18)/7),0)),0)</f>
        <v>0</v>
      </c>
      <c r="Q3" s="14">
        <f ca="1">IF((IF(WEEKDAY(I3)&lt;&gt;5,ROUNDDOWN((_xlfn.DAYS(I3,$B$19)/7)+1,0),ROUNDDOWN((_xlfn.DAYS(I3,$B$19)/7),0)))&gt;0,IF(WEEKDAY(I3)&lt;&gt;5,ROUNDDOWN((_xlfn.DAYS(I3,$B$19)/7)+1,0),ROUNDDOWN((_xlfn.DAYS(I3,$B$19)/7),0)),0)</f>
        <v>0</v>
      </c>
      <c r="R3" s="14">
        <f ca="1">IF((IF(WEEKDAY(I3)&lt;&gt;6,ROUNDDOWN((_xlfn.DAYS(I3,$B$20)/7)+1,0),ROUNDDOWN((_xlfn.DAYS(I3,$B$20)/7),0)))&gt;0,IF(WEEKDAY(I3)&lt;&gt;6,ROUNDDOWN((_xlfn.DAYS(I3,$B$20)/7)+1,0),ROUNDDOWN((_xlfn.DAYS(I3,$B$20)/7),0)),0)</f>
        <v>0</v>
      </c>
      <c r="S3" s="15">
        <f ca="1">IF((IF(WEEKDAY(I3)&lt;&gt;7,ROUNDDOWN((_xlfn.DAYS(I3,$B$21)/7)+1,0),ROUNDDOWN((_xlfn.DAYS(I3,$B$21)/7),0)))&gt;0,IF(WEEKDAY(I3)&lt;&gt;7,ROUNDDOWN((_xlfn.DAYS(I3,$B$21)/7)+1,0),ROUNDDOWN((_xlfn.DAYS(I3,$B$21)/7),0)),0)</f>
        <v>0</v>
      </c>
      <c r="U3" s="16" t="s">
        <v>13</v>
      </c>
      <c r="V3" s="14">
        <v>8</v>
      </c>
      <c r="W3" s="15">
        <f>Input!C6</f>
        <v>7</v>
      </c>
      <c r="Y3" s="16" t="s">
        <v>11</v>
      </c>
      <c r="Z3" s="15" cm="1">
        <f t="array" ref="Z3">24-SUM(_xlfn._xlws.FILTER(E3:E34,Y3=F3:F34,0))-B10</f>
        <v>4</v>
      </c>
      <c r="AA3" s="14"/>
      <c r="AB3" s="24" t="s">
        <v>29</v>
      </c>
      <c r="AC3" s="15">
        <v>8</v>
      </c>
      <c r="AD3" s="14"/>
    </row>
    <row r="4" spans="1:30" ht="16.5">
      <c r="A4" s="14"/>
      <c r="B4" s="14"/>
      <c r="C4" s="14"/>
      <c r="D4" s="16" t="str">
        <f>Input!E4</f>
        <v>Clubs</v>
      </c>
      <c r="E4" s="14">
        <v>1</v>
      </c>
      <c r="F4" s="15" t="str">
        <f>Input!G4</f>
        <v>Wednesday</v>
      </c>
      <c r="H4" s="16" t="s">
        <v>30</v>
      </c>
      <c r="I4" s="13">
        <v>44891</v>
      </c>
      <c r="J4" s="14">
        <f t="shared" ref="J4:J34" si="0">WEEKDAY(I4)</f>
        <v>7</v>
      </c>
      <c r="K4" s="14" t="s">
        <v>28</v>
      </c>
      <c r="L4" s="14">
        <v>2</v>
      </c>
      <c r="M4" s="14">
        <f t="shared" ref="M4:M34" ca="1" si="1">IF((IF(WEEKDAY(I4)&lt;&gt;1,ROUNDDOWN((_xlfn.DAYS(I4,$B$15)/7)+1,0),ROUNDDOWN((_xlfn.DAYS(I4,$B$15)/7),0)))&gt;0,IF(WEEKDAY(I4)&lt;&gt;1,ROUNDDOWN((_xlfn.DAYS(I4,$B$15)/7)+1,0),ROUNDDOWN((_xlfn.DAYS(I4,$B$15)/7),0)),0)</f>
        <v>0</v>
      </c>
      <c r="N4" s="14">
        <f t="shared" ref="N4:N34" ca="1" si="2">IF((IF(WEEKDAY(I4)&lt;&gt;2,ROUNDDOWN((_xlfn.DAYS(I4,$B$16)/7)+1,0),ROUNDDOWN((_xlfn.DAYS(I4,$B$16)/7),0)))&gt;0,IF(WEEKDAY(I4)&lt;&gt;2,ROUNDDOWN((_xlfn.DAYS(I4,$B$16)/7)+1,0),ROUNDDOWN((_xlfn.DAYS(I4,$B$16)/7),0)),0)</f>
        <v>0</v>
      </c>
      <c r="O4" s="14">
        <f t="shared" ref="O4:O34" ca="1" si="3">IF((IF(WEEKDAY(I4)&lt;&gt;3,ROUNDDOWN((_xlfn.DAYS(I4,$B$17)/7)+1,0),ROUNDDOWN((_xlfn.DAYS(I4,$B$17)/7),0)))&gt;0,IF(WEEKDAY(I4)&lt;&gt;3,ROUNDDOWN((_xlfn.DAYS(I4,$B$17)/7)+1,0),ROUNDDOWN((_xlfn.DAYS(I4,$B$17)/7),0)),0)</f>
        <v>0</v>
      </c>
      <c r="P4" s="14">
        <f t="shared" ref="P4:P34" ca="1" si="4">IF((IF(WEEKDAY(I4)&lt;&gt;4,ROUNDDOWN((_xlfn.DAYS(I4,$B$18)/7)+1,0),ROUNDDOWN((_xlfn.DAYS(I4,$B$18)/7),0)))&gt;0,IF(WEEKDAY(I4)&lt;&gt;4,ROUNDDOWN((_xlfn.DAYS(I4,$B$18)/7)+1,0),ROUNDDOWN((_xlfn.DAYS(I4,$B$18)/7),0)),0)</f>
        <v>0</v>
      </c>
      <c r="Q4" s="14">
        <f t="shared" ref="Q4:Q34" ca="1" si="5">IF((IF(WEEKDAY(I4)&lt;&gt;5,ROUNDDOWN((_xlfn.DAYS(I4,$B$19)/7)+1,0),ROUNDDOWN((_xlfn.DAYS(I4,$B$19)/7),0)))&gt;0,IF(WEEKDAY(I4)&lt;&gt;5,ROUNDDOWN((_xlfn.DAYS(I4,$B$19)/7)+1,0),ROUNDDOWN((_xlfn.DAYS(I4,$B$19)/7),0)),0)</f>
        <v>0</v>
      </c>
      <c r="R4" s="14">
        <f t="shared" ref="R4:R34" ca="1" si="6">IF((IF(WEEKDAY(I4)&lt;&gt;6,ROUNDDOWN((_xlfn.DAYS(I4,$B$20)/7)+1,0),ROUNDDOWN((_xlfn.DAYS(I4,$B$20)/7),0)))&gt;0,IF(WEEKDAY(I4)&lt;&gt;6,ROUNDDOWN((_xlfn.DAYS(I4,$B$20)/7)+1,0),ROUNDDOWN((_xlfn.DAYS(I4,$B$20)/7),0)),0)</f>
        <v>0</v>
      </c>
      <c r="S4" s="15">
        <f t="shared" ref="S4:S34" ca="1" si="7">IF((IF(WEEKDAY(I4)&lt;&gt;7,ROUNDDOWN((_xlfn.DAYS(I4,$B$21)/7)+1,0),ROUNDDOWN((_xlfn.DAYS(I4,$B$21)/7),0)))&gt;0,IF(WEEKDAY(I4)&lt;&gt;7,ROUNDDOWN((_xlfn.DAYS(I4,$B$21)/7)+1,0),ROUNDDOWN((_xlfn.DAYS(I4,$B$21)/7),0)),0)</f>
        <v>0</v>
      </c>
      <c r="U4" s="16" t="s">
        <v>15</v>
      </c>
      <c r="V4" s="14">
        <v>2</v>
      </c>
      <c r="W4" s="15">
        <f>Input!C7</f>
        <v>2</v>
      </c>
      <c r="Y4" s="16" t="s">
        <v>21</v>
      </c>
      <c r="Z4" s="15" cm="1">
        <f t="array" ref="Z4">24-SUM(_xlfn._xlws.FILTER(E3:E34,Y4=F3:F34,0))-B10</f>
        <v>3</v>
      </c>
      <c r="AA4" s="14"/>
      <c r="AB4" s="25" t="s">
        <v>26</v>
      </c>
      <c r="AC4" s="15">
        <v>5</v>
      </c>
      <c r="AD4" s="14"/>
    </row>
    <row r="5" spans="1:30" ht="16.5">
      <c r="A5" s="9" t="s">
        <v>7</v>
      </c>
      <c r="B5" s="11" t="s">
        <v>12</v>
      </c>
      <c r="C5" s="14"/>
      <c r="D5" s="16" t="str">
        <f>Input!E5</f>
        <v>Clubs</v>
      </c>
      <c r="E5" s="14">
        <v>1</v>
      </c>
      <c r="F5" s="15" t="str">
        <f>Input!G5</f>
        <v>Friday</v>
      </c>
      <c r="H5" s="16"/>
      <c r="I5" s="13"/>
      <c r="J5" s="14">
        <f t="shared" si="0"/>
        <v>7</v>
      </c>
      <c r="K5" s="14"/>
      <c r="L5" s="14"/>
      <c r="M5" s="14">
        <f t="shared" ca="1" si="1"/>
        <v>0</v>
      </c>
      <c r="N5" s="14">
        <f t="shared" ca="1" si="2"/>
        <v>0</v>
      </c>
      <c r="O5" s="14">
        <f t="shared" ca="1" si="3"/>
        <v>0</v>
      </c>
      <c r="P5" s="14">
        <f t="shared" ca="1" si="4"/>
        <v>0</v>
      </c>
      <c r="Q5" s="14">
        <f t="shared" ca="1" si="5"/>
        <v>0</v>
      </c>
      <c r="R5" s="14">
        <f t="shared" ca="1" si="6"/>
        <v>0</v>
      </c>
      <c r="S5" s="15">
        <f t="shared" ca="1" si="7"/>
        <v>0</v>
      </c>
      <c r="U5" s="16" t="s">
        <v>17</v>
      </c>
      <c r="V5" s="14">
        <v>8</v>
      </c>
      <c r="W5" s="15">
        <f>Input!C8</f>
        <v>9</v>
      </c>
      <c r="Y5" s="16" t="s">
        <v>22</v>
      </c>
      <c r="Z5" s="15" cm="1">
        <f t="array" ref="Z5">24-SUM(_xlfn._xlws.FILTER(E3:E34,Y5=F3:F34,0))-B10</f>
        <v>4</v>
      </c>
      <c r="AA5" s="14"/>
      <c r="AB5" s="25" t="s">
        <v>31</v>
      </c>
      <c r="AC5" s="15">
        <v>7</v>
      </c>
      <c r="AD5" s="14"/>
    </row>
    <row r="6" spans="1:30" ht="16.5">
      <c r="A6" s="51" t="s">
        <v>13</v>
      </c>
      <c r="B6" s="15">
        <v>7</v>
      </c>
      <c r="C6" s="14"/>
      <c r="D6" s="16">
        <f>Input!E6</f>
        <v>0</v>
      </c>
      <c r="E6" s="14">
        <f>Input!F6</f>
        <v>0</v>
      </c>
      <c r="F6" s="15">
        <f>Input!G6</f>
        <v>0</v>
      </c>
      <c r="H6" s="16"/>
      <c r="I6" s="13"/>
      <c r="J6" s="14">
        <f t="shared" si="0"/>
        <v>7</v>
      </c>
      <c r="K6" s="14"/>
      <c r="L6" s="14"/>
      <c r="M6" s="14">
        <f t="shared" ca="1" si="1"/>
        <v>0</v>
      </c>
      <c r="N6" s="14">
        <f t="shared" ca="1" si="2"/>
        <v>0</v>
      </c>
      <c r="O6" s="14">
        <f t="shared" ca="1" si="3"/>
        <v>0</v>
      </c>
      <c r="P6" s="14">
        <f t="shared" ca="1" si="4"/>
        <v>0</v>
      </c>
      <c r="Q6" s="14">
        <f t="shared" ca="1" si="5"/>
        <v>0</v>
      </c>
      <c r="R6" s="14">
        <f t="shared" ca="1" si="6"/>
        <v>0</v>
      </c>
      <c r="S6" s="15">
        <f t="shared" ca="1" si="7"/>
        <v>0</v>
      </c>
      <c r="U6" s="17" t="s">
        <v>18</v>
      </c>
      <c r="V6" s="18">
        <v>1</v>
      </c>
      <c r="W6" s="19">
        <f>Input!C9</f>
        <v>2</v>
      </c>
      <c r="Y6" s="16" t="s">
        <v>14</v>
      </c>
      <c r="Z6" s="15" cm="1">
        <f t="array" ref="Z6">24-SUM(_xlfn._xlws.FILTER(E3:E34,Y6=F3:F34,0))-B10</f>
        <v>3</v>
      </c>
      <c r="AA6" s="14"/>
      <c r="AB6" s="25" t="s">
        <v>32</v>
      </c>
      <c r="AC6" s="15">
        <v>6</v>
      </c>
      <c r="AD6" s="14"/>
    </row>
    <row r="7" spans="1:30" ht="16.5">
      <c r="A7" s="51" t="s">
        <v>15</v>
      </c>
      <c r="B7" s="15">
        <v>2</v>
      </c>
      <c r="C7" s="14"/>
      <c r="D7" s="16">
        <f>Input!E7</f>
        <v>0</v>
      </c>
      <c r="E7" s="14">
        <f>Input!F7</f>
        <v>0</v>
      </c>
      <c r="F7" s="15">
        <f>Input!G7</f>
        <v>0</v>
      </c>
      <c r="H7" s="16"/>
      <c r="I7" s="13"/>
      <c r="J7" s="14">
        <f t="shared" si="0"/>
        <v>7</v>
      </c>
      <c r="K7" s="14"/>
      <c r="L7" s="14"/>
      <c r="M7" s="14">
        <f t="shared" ca="1" si="1"/>
        <v>0</v>
      </c>
      <c r="N7" s="14">
        <f t="shared" ca="1" si="2"/>
        <v>0</v>
      </c>
      <c r="O7" s="14">
        <f t="shared" ca="1" si="3"/>
        <v>0</v>
      </c>
      <c r="P7" s="14">
        <f t="shared" ca="1" si="4"/>
        <v>0</v>
      </c>
      <c r="Q7" s="14">
        <f t="shared" ca="1" si="5"/>
        <v>0</v>
      </c>
      <c r="R7" s="14">
        <f t="shared" ca="1" si="6"/>
        <v>0</v>
      </c>
      <c r="S7" s="15">
        <f t="shared" ca="1" si="7"/>
        <v>0</v>
      </c>
      <c r="U7" s="3"/>
      <c r="Y7" s="16" t="s">
        <v>23</v>
      </c>
      <c r="Z7" s="15" cm="1">
        <f t="array" ref="Z7">24-SUM(_xlfn._xlws.FILTER(E3:E34,Y7=F3:F34,0))-B10</f>
        <v>4</v>
      </c>
      <c r="AA7" s="14"/>
      <c r="AB7" s="25" t="s">
        <v>34</v>
      </c>
      <c r="AC7" s="15">
        <v>7</v>
      </c>
      <c r="AD7" s="14"/>
    </row>
    <row r="8" spans="1:30" ht="16.5">
      <c r="A8" s="51" t="s">
        <v>17</v>
      </c>
      <c r="B8" s="15">
        <v>9</v>
      </c>
      <c r="C8" s="14"/>
      <c r="D8" s="16">
        <f>Input!E8</f>
        <v>0</v>
      </c>
      <c r="E8" s="14">
        <v>0</v>
      </c>
      <c r="F8" s="15">
        <f>Input!G8</f>
        <v>0</v>
      </c>
      <c r="H8" s="16"/>
      <c r="I8" s="13"/>
      <c r="J8" s="14">
        <f t="shared" si="0"/>
        <v>7</v>
      </c>
      <c r="K8" s="14"/>
      <c r="L8" s="14"/>
      <c r="M8" s="14">
        <f t="shared" ca="1" si="1"/>
        <v>0</v>
      </c>
      <c r="N8" s="14">
        <f t="shared" ca="1" si="2"/>
        <v>0</v>
      </c>
      <c r="O8" s="14">
        <f t="shared" ca="1" si="3"/>
        <v>0</v>
      </c>
      <c r="P8" s="14">
        <f t="shared" ca="1" si="4"/>
        <v>0</v>
      </c>
      <c r="Q8" s="14">
        <f t="shared" ca="1" si="5"/>
        <v>0</v>
      </c>
      <c r="R8" s="14">
        <f t="shared" ca="1" si="6"/>
        <v>0</v>
      </c>
      <c r="S8" s="15">
        <f t="shared" ca="1" si="7"/>
        <v>0</v>
      </c>
      <c r="Y8" s="16" t="s">
        <v>16</v>
      </c>
      <c r="Z8" s="15" cm="1">
        <f t="array" ref="Z8">24-SUM(_xlfn._xlws.FILTER(E3:E34,Y8=F3:F34,0))-B10</f>
        <v>3</v>
      </c>
      <c r="AA8" s="14"/>
      <c r="AB8" s="26" t="s">
        <v>36</v>
      </c>
      <c r="AC8" s="19">
        <v>7</v>
      </c>
      <c r="AD8" s="14"/>
    </row>
    <row r="9" spans="1:30" ht="16.5">
      <c r="A9" s="52" t="s">
        <v>18</v>
      </c>
      <c r="B9" s="19">
        <v>2</v>
      </c>
      <c r="C9" s="14"/>
      <c r="D9" s="16">
        <f>Input!E9</f>
        <v>0</v>
      </c>
      <c r="E9" s="14">
        <v>0</v>
      </c>
      <c r="F9" s="15">
        <f>Input!G9</f>
        <v>0</v>
      </c>
      <c r="H9" s="16"/>
      <c r="I9" s="13"/>
      <c r="J9" s="14">
        <f t="shared" si="0"/>
        <v>7</v>
      </c>
      <c r="K9" s="14"/>
      <c r="L9" s="14"/>
      <c r="M9" s="14">
        <f t="shared" ca="1" si="1"/>
        <v>0</v>
      </c>
      <c r="N9" s="14">
        <f t="shared" ca="1" si="2"/>
        <v>0</v>
      </c>
      <c r="O9" s="14">
        <f t="shared" ca="1" si="3"/>
        <v>0</v>
      </c>
      <c r="P9" s="14">
        <f t="shared" ca="1" si="4"/>
        <v>0</v>
      </c>
      <c r="Q9" s="14">
        <f t="shared" ca="1" si="5"/>
        <v>0</v>
      </c>
      <c r="R9" s="14">
        <f t="shared" ca="1" si="6"/>
        <v>0</v>
      </c>
      <c r="S9" s="15">
        <f t="shared" ca="1" si="7"/>
        <v>0</v>
      </c>
      <c r="Y9" s="17" t="s">
        <v>10</v>
      </c>
      <c r="Z9" s="19" cm="1">
        <f t="array" ref="Z9">24-SUM(_xlfn._xlws.FILTER(E3:E34,Y9=F3:F34,0))-B10</f>
        <v>4</v>
      </c>
      <c r="AA9" s="14"/>
      <c r="AB9" s="14"/>
      <c r="AC9" s="14"/>
      <c r="AD9" s="14"/>
    </row>
    <row r="10" spans="1:30" ht="16.5">
      <c r="A10" s="14"/>
      <c r="B10" s="20">
        <f>SUM(B6:B9)</f>
        <v>20</v>
      </c>
      <c r="C10" s="14"/>
      <c r="D10" s="16">
        <f>Input!E10</f>
        <v>0</v>
      </c>
      <c r="E10" s="14">
        <f>Input!F10</f>
        <v>0</v>
      </c>
      <c r="F10" s="15">
        <f>Input!G10</f>
        <v>0</v>
      </c>
      <c r="H10" s="16"/>
      <c r="I10" s="13"/>
      <c r="J10" s="14">
        <f t="shared" si="0"/>
        <v>7</v>
      </c>
      <c r="K10" s="14"/>
      <c r="L10" s="14"/>
      <c r="M10" s="14">
        <f t="shared" ca="1" si="1"/>
        <v>0</v>
      </c>
      <c r="N10" s="14">
        <f t="shared" ca="1" si="2"/>
        <v>0</v>
      </c>
      <c r="O10" s="14">
        <f t="shared" ca="1" si="3"/>
        <v>0</v>
      </c>
      <c r="P10" s="14">
        <f t="shared" ca="1" si="4"/>
        <v>0</v>
      </c>
      <c r="Q10" s="14">
        <f t="shared" ca="1" si="5"/>
        <v>0</v>
      </c>
      <c r="R10" s="14">
        <f t="shared" ca="1" si="6"/>
        <v>0</v>
      </c>
      <c r="S10" s="15">
        <f t="shared" ca="1" si="7"/>
        <v>0</v>
      </c>
    </row>
    <row r="11" spans="1:30" ht="16.5">
      <c r="A11" s="14"/>
      <c r="B11" s="14"/>
      <c r="C11" s="14"/>
      <c r="D11" s="16">
        <f>Input!E11</f>
        <v>0</v>
      </c>
      <c r="E11" s="14">
        <f>Input!F11</f>
        <v>0</v>
      </c>
      <c r="F11" s="15">
        <f>Input!G11</f>
        <v>0</v>
      </c>
      <c r="H11" s="16"/>
      <c r="I11" s="13"/>
      <c r="J11" s="14">
        <f t="shared" si="0"/>
        <v>7</v>
      </c>
      <c r="K11" s="14"/>
      <c r="L11" s="14"/>
      <c r="M11" s="14">
        <f t="shared" ca="1" si="1"/>
        <v>0</v>
      </c>
      <c r="N11" s="14">
        <f t="shared" ca="1" si="2"/>
        <v>0</v>
      </c>
      <c r="O11" s="14">
        <f t="shared" ca="1" si="3"/>
        <v>0</v>
      </c>
      <c r="P11" s="14">
        <f t="shared" ca="1" si="4"/>
        <v>0</v>
      </c>
      <c r="Q11" s="14">
        <f t="shared" ca="1" si="5"/>
        <v>0</v>
      </c>
      <c r="R11" s="14">
        <f t="shared" ca="1" si="6"/>
        <v>0</v>
      </c>
      <c r="S11" s="15">
        <f t="shared" ca="1" si="7"/>
        <v>0</v>
      </c>
    </row>
    <row r="12" spans="1:30" ht="16.5">
      <c r="A12" s="28" t="s">
        <v>38</v>
      </c>
      <c r="B12" s="21">
        <f ca="1">TODAY()</f>
        <v>44938</v>
      </c>
      <c r="C12" s="14"/>
      <c r="D12" s="16">
        <f>Input!E12</f>
        <v>0</v>
      </c>
      <c r="E12" s="14">
        <f>Input!F12</f>
        <v>0</v>
      </c>
      <c r="F12" s="15">
        <f>Input!G12</f>
        <v>0</v>
      </c>
      <c r="H12" s="16"/>
      <c r="I12" s="13"/>
      <c r="J12" s="14">
        <f t="shared" si="0"/>
        <v>7</v>
      </c>
      <c r="K12" s="14"/>
      <c r="L12" s="14"/>
      <c r="M12" s="14">
        <f t="shared" ca="1" si="1"/>
        <v>0</v>
      </c>
      <c r="N12" s="14">
        <f t="shared" ca="1" si="2"/>
        <v>0</v>
      </c>
      <c r="O12" s="14">
        <f t="shared" ca="1" si="3"/>
        <v>0</v>
      </c>
      <c r="P12" s="14">
        <f t="shared" ca="1" si="4"/>
        <v>0</v>
      </c>
      <c r="Q12" s="14">
        <f t="shared" ca="1" si="5"/>
        <v>0</v>
      </c>
      <c r="R12" s="14">
        <f t="shared" ca="1" si="6"/>
        <v>0</v>
      </c>
      <c r="S12" s="15">
        <f t="shared" ca="1" si="7"/>
        <v>0</v>
      </c>
    </row>
    <row r="13" spans="1:30" ht="16.5">
      <c r="A13" s="29" t="s">
        <v>39</v>
      </c>
      <c r="B13" s="19">
        <f ca="1">WEEKDAY(B12)</f>
        <v>5</v>
      </c>
      <c r="C13" s="14"/>
      <c r="D13" s="16">
        <f>Input!E13</f>
        <v>0</v>
      </c>
      <c r="E13" s="14">
        <f>Input!F13</f>
        <v>0</v>
      </c>
      <c r="F13" s="15">
        <f>Input!G13</f>
        <v>0</v>
      </c>
      <c r="H13" s="16"/>
      <c r="I13" s="13"/>
      <c r="J13" s="14">
        <f>WEEKDAY(I13)</f>
        <v>7</v>
      </c>
      <c r="K13" s="14"/>
      <c r="L13" s="14"/>
      <c r="M13" s="14">
        <f t="shared" ca="1" si="1"/>
        <v>0</v>
      </c>
      <c r="N13" s="14">
        <f t="shared" ca="1" si="2"/>
        <v>0</v>
      </c>
      <c r="O13" s="14">
        <f t="shared" ca="1" si="3"/>
        <v>0</v>
      </c>
      <c r="P13" s="14">
        <f t="shared" ca="1" si="4"/>
        <v>0</v>
      </c>
      <c r="Q13" s="14">
        <f t="shared" ca="1" si="5"/>
        <v>0</v>
      </c>
      <c r="R13" s="14">
        <f t="shared" ca="1" si="6"/>
        <v>0</v>
      </c>
      <c r="S13" s="15">
        <f t="shared" ca="1" si="7"/>
        <v>0</v>
      </c>
    </row>
    <row r="14" spans="1:30" ht="16.5">
      <c r="A14" s="14"/>
      <c r="B14" s="14"/>
      <c r="C14" s="14"/>
      <c r="D14" s="16">
        <f>Input!E14</f>
        <v>0</v>
      </c>
      <c r="E14" s="14">
        <f>Input!F14</f>
        <v>0</v>
      </c>
      <c r="F14" s="15">
        <f>Input!G14</f>
        <v>0</v>
      </c>
      <c r="H14" s="16"/>
      <c r="I14" s="13"/>
      <c r="J14" s="14">
        <f t="shared" si="0"/>
        <v>7</v>
      </c>
      <c r="K14" s="14"/>
      <c r="L14" s="14"/>
      <c r="M14" s="14">
        <f t="shared" ca="1" si="1"/>
        <v>0</v>
      </c>
      <c r="N14" s="14">
        <f t="shared" ca="1" si="2"/>
        <v>0</v>
      </c>
      <c r="O14" s="14">
        <f t="shared" ca="1" si="3"/>
        <v>0</v>
      </c>
      <c r="P14" s="14">
        <f t="shared" ca="1" si="4"/>
        <v>0</v>
      </c>
      <c r="Q14" s="14">
        <f t="shared" ca="1" si="5"/>
        <v>0</v>
      </c>
      <c r="R14" s="14">
        <f t="shared" ca="1" si="6"/>
        <v>0</v>
      </c>
      <c r="S14" s="15">
        <f t="shared" ca="1" si="7"/>
        <v>0</v>
      </c>
    </row>
    <row r="15" spans="1:30" ht="16.5">
      <c r="A15" s="31" t="s">
        <v>41</v>
      </c>
      <c r="B15" s="21">
        <f ca="1">IF(1&lt;$B$13,$B$12+8-$B$13,$B$12+(1-$B$13))</f>
        <v>44941</v>
      </c>
      <c r="C15" s="14"/>
      <c r="D15" s="16">
        <f>Input!E15</f>
        <v>0</v>
      </c>
      <c r="E15" s="14">
        <f>Input!F15</f>
        <v>0</v>
      </c>
      <c r="F15" s="15">
        <f>Input!G15</f>
        <v>0</v>
      </c>
      <c r="H15" s="16"/>
      <c r="I15" s="13"/>
      <c r="J15" s="14">
        <f t="shared" si="0"/>
        <v>7</v>
      </c>
      <c r="K15" s="14"/>
      <c r="L15" s="14"/>
      <c r="M15" s="14">
        <f t="shared" ca="1" si="1"/>
        <v>0</v>
      </c>
      <c r="N15" s="14">
        <f t="shared" ca="1" si="2"/>
        <v>0</v>
      </c>
      <c r="O15" s="14">
        <f t="shared" ca="1" si="3"/>
        <v>0</v>
      </c>
      <c r="P15" s="14">
        <f t="shared" ca="1" si="4"/>
        <v>0</v>
      </c>
      <c r="Q15" s="14">
        <f t="shared" ca="1" si="5"/>
        <v>0</v>
      </c>
      <c r="R15" s="14">
        <f t="shared" ca="1" si="6"/>
        <v>0</v>
      </c>
      <c r="S15" s="15">
        <f t="shared" ca="1" si="7"/>
        <v>0</v>
      </c>
    </row>
    <row r="16" spans="1:30" ht="16.5">
      <c r="A16" s="32" t="s">
        <v>42</v>
      </c>
      <c r="B16" s="22">
        <f ca="1">IF(2&lt;$B$13,$B$12+9-$B$13,$B$12+(2-$B$13))</f>
        <v>44942</v>
      </c>
      <c r="C16" s="14"/>
      <c r="D16" s="16">
        <f>Input!E16</f>
        <v>0</v>
      </c>
      <c r="E16" s="14">
        <f>Input!F16</f>
        <v>0</v>
      </c>
      <c r="F16" s="15">
        <f>Input!G16</f>
        <v>0</v>
      </c>
      <c r="H16" s="16"/>
      <c r="I16" s="14"/>
      <c r="J16" s="14">
        <f t="shared" si="0"/>
        <v>7</v>
      </c>
      <c r="K16" s="14"/>
      <c r="L16" s="14"/>
      <c r="M16" s="14">
        <f t="shared" ca="1" si="1"/>
        <v>0</v>
      </c>
      <c r="N16" s="14">
        <f t="shared" ca="1" si="2"/>
        <v>0</v>
      </c>
      <c r="O16" s="14">
        <f t="shared" ca="1" si="3"/>
        <v>0</v>
      </c>
      <c r="P16" s="14">
        <f t="shared" ca="1" si="4"/>
        <v>0</v>
      </c>
      <c r="Q16" s="14">
        <f t="shared" ca="1" si="5"/>
        <v>0</v>
      </c>
      <c r="R16" s="14">
        <f t="shared" ca="1" si="6"/>
        <v>0</v>
      </c>
      <c r="S16" s="15">
        <f t="shared" ca="1" si="7"/>
        <v>0</v>
      </c>
    </row>
    <row r="17" spans="1:19" ht="16.5">
      <c r="A17" s="32" t="s">
        <v>43</v>
      </c>
      <c r="B17" s="22">
        <f ca="1">IF(3&lt;$B$13,$B$12+10-$B$13,$B$12+(3-$B$13))</f>
        <v>44943</v>
      </c>
      <c r="C17" s="14"/>
      <c r="D17" s="16">
        <f>Input!E17</f>
        <v>0</v>
      </c>
      <c r="E17" s="14">
        <f>Input!F17</f>
        <v>0</v>
      </c>
      <c r="F17" s="15">
        <f>Input!G17</f>
        <v>0</v>
      </c>
      <c r="H17" s="16"/>
      <c r="I17" s="14"/>
      <c r="J17" s="14">
        <f t="shared" si="0"/>
        <v>7</v>
      </c>
      <c r="K17" s="14"/>
      <c r="L17" s="14"/>
      <c r="M17" s="14">
        <f t="shared" ca="1" si="1"/>
        <v>0</v>
      </c>
      <c r="N17" s="14">
        <f t="shared" ca="1" si="2"/>
        <v>0</v>
      </c>
      <c r="O17" s="14">
        <f t="shared" ca="1" si="3"/>
        <v>0</v>
      </c>
      <c r="P17" s="14">
        <f t="shared" ca="1" si="4"/>
        <v>0</v>
      </c>
      <c r="Q17" s="14">
        <f t="shared" ca="1" si="5"/>
        <v>0</v>
      </c>
      <c r="R17" s="14">
        <f t="shared" ca="1" si="6"/>
        <v>0</v>
      </c>
      <c r="S17" s="15">
        <f t="shared" ca="1" si="7"/>
        <v>0</v>
      </c>
    </row>
    <row r="18" spans="1:19" ht="16.5">
      <c r="A18" s="32" t="s">
        <v>44</v>
      </c>
      <c r="B18" s="22">
        <f ca="1">IF(4&lt;$B$13,$B$12+11-$B$13,$B$12+(4-$B$13))</f>
        <v>44944</v>
      </c>
      <c r="C18" s="14"/>
      <c r="D18" s="16">
        <f>Input!E18</f>
        <v>0</v>
      </c>
      <c r="E18" s="14">
        <f>Input!F18</f>
        <v>0</v>
      </c>
      <c r="F18" s="15">
        <f>Input!G18</f>
        <v>0</v>
      </c>
      <c r="H18" s="16"/>
      <c r="I18" s="14"/>
      <c r="J18" s="14">
        <f t="shared" si="0"/>
        <v>7</v>
      </c>
      <c r="K18" s="14"/>
      <c r="L18" s="14"/>
      <c r="M18" s="14">
        <f t="shared" ca="1" si="1"/>
        <v>0</v>
      </c>
      <c r="N18" s="14">
        <f t="shared" ca="1" si="2"/>
        <v>0</v>
      </c>
      <c r="O18" s="14">
        <f t="shared" ca="1" si="3"/>
        <v>0</v>
      </c>
      <c r="P18" s="14">
        <f t="shared" ca="1" si="4"/>
        <v>0</v>
      </c>
      <c r="Q18" s="14">
        <f t="shared" ca="1" si="5"/>
        <v>0</v>
      </c>
      <c r="R18" s="14">
        <f t="shared" ca="1" si="6"/>
        <v>0</v>
      </c>
      <c r="S18" s="15">
        <f t="shared" ca="1" si="7"/>
        <v>0</v>
      </c>
    </row>
    <row r="19" spans="1:19" ht="16.5">
      <c r="A19" s="32" t="s">
        <v>45</v>
      </c>
      <c r="B19" s="22">
        <f ca="1">IF(5&lt;$B$13,$B$12+12-$B$13,$B$12+(5-$B$13))</f>
        <v>44938</v>
      </c>
      <c r="C19" s="14"/>
      <c r="D19" s="16">
        <f>Input!E19</f>
        <v>0</v>
      </c>
      <c r="E19" s="14">
        <f>Input!F19</f>
        <v>0</v>
      </c>
      <c r="F19" s="15">
        <f>Input!G19</f>
        <v>0</v>
      </c>
      <c r="H19" s="16"/>
      <c r="I19" s="14"/>
      <c r="J19" s="14">
        <f t="shared" si="0"/>
        <v>7</v>
      </c>
      <c r="K19" s="14"/>
      <c r="L19" s="14"/>
      <c r="M19" s="14">
        <f t="shared" ca="1" si="1"/>
        <v>0</v>
      </c>
      <c r="N19" s="14">
        <f t="shared" ca="1" si="2"/>
        <v>0</v>
      </c>
      <c r="O19" s="14">
        <f t="shared" ca="1" si="3"/>
        <v>0</v>
      </c>
      <c r="P19" s="14">
        <f t="shared" ca="1" si="4"/>
        <v>0</v>
      </c>
      <c r="Q19" s="14">
        <f t="shared" ca="1" si="5"/>
        <v>0</v>
      </c>
      <c r="R19" s="14">
        <f t="shared" ca="1" si="6"/>
        <v>0</v>
      </c>
      <c r="S19" s="15">
        <f t="shared" ca="1" si="7"/>
        <v>0</v>
      </c>
    </row>
    <row r="20" spans="1:19" ht="16.5">
      <c r="A20" s="32" t="s">
        <v>46</v>
      </c>
      <c r="B20" s="22">
        <f ca="1">IF(6&lt;$B$13,$B$12+13-$B$13,$B$12+(6-$B$13))</f>
        <v>44939</v>
      </c>
      <c r="C20" s="14"/>
      <c r="D20" s="16">
        <f>Input!E20</f>
        <v>0</v>
      </c>
      <c r="E20" s="14">
        <f>Input!F20</f>
        <v>0</v>
      </c>
      <c r="F20" s="15">
        <f>Input!G20</f>
        <v>0</v>
      </c>
      <c r="H20" s="16"/>
      <c r="I20" s="14"/>
      <c r="J20" s="14">
        <f t="shared" si="0"/>
        <v>7</v>
      </c>
      <c r="K20" s="14"/>
      <c r="L20" s="14"/>
      <c r="M20" s="14">
        <f t="shared" ca="1" si="1"/>
        <v>0</v>
      </c>
      <c r="N20" s="14">
        <f t="shared" ca="1" si="2"/>
        <v>0</v>
      </c>
      <c r="O20" s="14">
        <f t="shared" ca="1" si="3"/>
        <v>0</v>
      </c>
      <c r="P20" s="14">
        <f t="shared" ca="1" si="4"/>
        <v>0</v>
      </c>
      <c r="Q20" s="14">
        <f t="shared" ca="1" si="5"/>
        <v>0</v>
      </c>
      <c r="R20" s="14">
        <f t="shared" ca="1" si="6"/>
        <v>0</v>
      </c>
      <c r="S20" s="15">
        <f t="shared" ca="1" si="7"/>
        <v>0</v>
      </c>
    </row>
    <row r="21" spans="1:19" ht="16.5">
      <c r="A21" s="33" t="s">
        <v>47</v>
      </c>
      <c r="B21" s="23">
        <f ca="1">IF(7=$B$13,$B$12,$B$12+(7-B13))</f>
        <v>44940</v>
      </c>
      <c r="C21" s="14"/>
      <c r="D21" s="16">
        <f>Input!E21</f>
        <v>0</v>
      </c>
      <c r="E21" s="14">
        <f>Input!F21</f>
        <v>0</v>
      </c>
      <c r="F21" s="15">
        <f>Input!G21</f>
        <v>0</v>
      </c>
      <c r="H21" s="16"/>
      <c r="I21" s="14"/>
      <c r="J21" s="14">
        <f t="shared" si="0"/>
        <v>7</v>
      </c>
      <c r="K21" s="14"/>
      <c r="L21" s="14"/>
      <c r="M21" s="14">
        <f t="shared" ca="1" si="1"/>
        <v>0</v>
      </c>
      <c r="N21" s="14">
        <f t="shared" ca="1" si="2"/>
        <v>0</v>
      </c>
      <c r="O21" s="14">
        <f t="shared" ca="1" si="3"/>
        <v>0</v>
      </c>
      <c r="P21" s="14">
        <f t="shared" ca="1" si="4"/>
        <v>0</v>
      </c>
      <c r="Q21" s="14">
        <f t="shared" ca="1" si="5"/>
        <v>0</v>
      </c>
      <c r="R21" s="14">
        <f t="shared" ca="1" si="6"/>
        <v>0</v>
      </c>
      <c r="S21" s="15">
        <f t="shared" ca="1" si="7"/>
        <v>0</v>
      </c>
    </row>
    <row r="22" spans="1:19" ht="16.5">
      <c r="A22" s="14"/>
      <c r="B22" s="14"/>
      <c r="C22" s="14"/>
      <c r="D22" s="16">
        <f>Input!E22</f>
        <v>0</v>
      </c>
      <c r="E22" s="14">
        <f>Input!F22</f>
        <v>0</v>
      </c>
      <c r="F22" s="15">
        <f>Input!G22</f>
        <v>0</v>
      </c>
      <c r="H22" s="16"/>
      <c r="I22" s="14"/>
      <c r="J22" s="14">
        <f t="shared" si="0"/>
        <v>7</v>
      </c>
      <c r="K22" s="14"/>
      <c r="L22" s="14"/>
      <c r="M22" s="14">
        <f t="shared" ca="1" si="1"/>
        <v>0</v>
      </c>
      <c r="N22" s="14">
        <f t="shared" ca="1" si="2"/>
        <v>0</v>
      </c>
      <c r="O22" s="14">
        <f t="shared" ca="1" si="3"/>
        <v>0</v>
      </c>
      <c r="P22" s="14">
        <f t="shared" ca="1" si="4"/>
        <v>0</v>
      </c>
      <c r="Q22" s="14">
        <f t="shared" ca="1" si="5"/>
        <v>0</v>
      </c>
      <c r="R22" s="14">
        <f t="shared" ca="1" si="6"/>
        <v>0</v>
      </c>
      <c r="S22" s="15">
        <f t="shared" ca="1" si="7"/>
        <v>0</v>
      </c>
    </row>
    <row r="23" spans="1:19" ht="16.5">
      <c r="A23" s="14"/>
      <c r="B23" s="14"/>
      <c r="C23" s="14"/>
      <c r="D23" s="16">
        <f>Input!E23</f>
        <v>0</v>
      </c>
      <c r="E23" s="14">
        <f>Input!F23</f>
        <v>0</v>
      </c>
      <c r="F23" s="15">
        <f>Input!G23</f>
        <v>0</v>
      </c>
      <c r="H23" s="16"/>
      <c r="I23" s="14"/>
      <c r="J23" s="14">
        <f t="shared" si="0"/>
        <v>7</v>
      </c>
      <c r="K23" s="14"/>
      <c r="L23" s="14"/>
      <c r="M23" s="14">
        <f t="shared" ca="1" si="1"/>
        <v>0</v>
      </c>
      <c r="N23" s="14">
        <f t="shared" ca="1" si="2"/>
        <v>0</v>
      </c>
      <c r="O23" s="14">
        <f t="shared" ca="1" si="3"/>
        <v>0</v>
      </c>
      <c r="P23" s="14">
        <f t="shared" ca="1" si="4"/>
        <v>0</v>
      </c>
      <c r="Q23" s="14">
        <f t="shared" ca="1" si="5"/>
        <v>0</v>
      </c>
      <c r="R23" s="14">
        <f t="shared" ca="1" si="6"/>
        <v>0</v>
      </c>
      <c r="S23" s="15">
        <f t="shared" ca="1" si="7"/>
        <v>0</v>
      </c>
    </row>
    <row r="24" spans="1:19" ht="16.5">
      <c r="A24" s="14"/>
      <c r="B24" s="14"/>
      <c r="C24" s="14"/>
      <c r="D24" s="16">
        <f>Input!E24</f>
        <v>0</v>
      </c>
      <c r="E24" s="14">
        <f>Input!F24</f>
        <v>0</v>
      </c>
      <c r="F24" s="15">
        <f>Input!G24</f>
        <v>0</v>
      </c>
      <c r="H24" s="16"/>
      <c r="I24" s="14"/>
      <c r="J24" s="14">
        <f t="shared" si="0"/>
        <v>7</v>
      </c>
      <c r="K24" s="14"/>
      <c r="L24" s="14"/>
      <c r="M24" s="14">
        <f t="shared" ca="1" si="1"/>
        <v>0</v>
      </c>
      <c r="N24" s="14">
        <f t="shared" ca="1" si="2"/>
        <v>0</v>
      </c>
      <c r="O24" s="14">
        <f t="shared" ca="1" si="3"/>
        <v>0</v>
      </c>
      <c r="P24" s="14">
        <f t="shared" ca="1" si="4"/>
        <v>0</v>
      </c>
      <c r="Q24" s="14">
        <f t="shared" ca="1" si="5"/>
        <v>0</v>
      </c>
      <c r="R24" s="14">
        <f t="shared" ca="1" si="6"/>
        <v>0</v>
      </c>
      <c r="S24" s="15">
        <f t="shared" ca="1" si="7"/>
        <v>0</v>
      </c>
    </row>
    <row r="25" spans="1:19" ht="16.5">
      <c r="A25" s="14"/>
      <c r="B25" s="14"/>
      <c r="C25" s="14"/>
      <c r="D25" s="16">
        <f>Input!E25</f>
        <v>0</v>
      </c>
      <c r="E25" s="14">
        <f>Input!F25</f>
        <v>0</v>
      </c>
      <c r="F25" s="15">
        <f>Input!G25</f>
        <v>0</v>
      </c>
      <c r="H25" s="16"/>
      <c r="I25" s="14"/>
      <c r="J25" s="14">
        <f t="shared" si="0"/>
        <v>7</v>
      </c>
      <c r="K25" s="14"/>
      <c r="L25" s="14"/>
      <c r="M25" s="14">
        <f t="shared" ca="1" si="1"/>
        <v>0</v>
      </c>
      <c r="N25" s="14">
        <f t="shared" ca="1" si="2"/>
        <v>0</v>
      </c>
      <c r="O25" s="14">
        <f t="shared" ca="1" si="3"/>
        <v>0</v>
      </c>
      <c r="P25" s="14">
        <f t="shared" ca="1" si="4"/>
        <v>0</v>
      </c>
      <c r="Q25" s="14">
        <f t="shared" ca="1" si="5"/>
        <v>0</v>
      </c>
      <c r="R25" s="14">
        <f t="shared" ca="1" si="6"/>
        <v>0</v>
      </c>
      <c r="S25" s="15">
        <f t="shared" ca="1" si="7"/>
        <v>0</v>
      </c>
    </row>
    <row r="26" spans="1:19" ht="16.5">
      <c r="A26" s="45" t="s">
        <v>48</v>
      </c>
      <c r="B26" s="14"/>
      <c r="C26" s="14"/>
      <c r="D26" s="16">
        <f>Input!E26</f>
        <v>0</v>
      </c>
      <c r="E26" s="14">
        <f>Input!F26</f>
        <v>0</v>
      </c>
      <c r="F26" s="15">
        <f>Input!G26</f>
        <v>0</v>
      </c>
      <c r="H26" s="16"/>
      <c r="I26" s="14"/>
      <c r="J26" s="14">
        <f t="shared" si="0"/>
        <v>7</v>
      </c>
      <c r="K26" s="14"/>
      <c r="L26" s="14"/>
      <c r="M26" s="14">
        <f t="shared" ca="1" si="1"/>
        <v>0</v>
      </c>
      <c r="N26" s="14">
        <f t="shared" ca="1" si="2"/>
        <v>0</v>
      </c>
      <c r="O26" s="14">
        <f t="shared" ca="1" si="3"/>
        <v>0</v>
      </c>
      <c r="P26" s="14">
        <f t="shared" ca="1" si="4"/>
        <v>0</v>
      </c>
      <c r="Q26" s="14">
        <f t="shared" ca="1" si="5"/>
        <v>0</v>
      </c>
      <c r="R26" s="14">
        <f t="shared" ca="1" si="6"/>
        <v>0</v>
      </c>
      <c r="S26" s="15">
        <f t="shared" ca="1" si="7"/>
        <v>0</v>
      </c>
    </row>
    <row r="27" spans="1:19" ht="16.5">
      <c r="A27" s="46" t="s">
        <v>35</v>
      </c>
      <c r="B27" s="14"/>
      <c r="C27" s="14"/>
      <c r="D27" s="16">
        <f>Input!E27</f>
        <v>0</v>
      </c>
      <c r="E27" s="14">
        <f>Input!F27</f>
        <v>0</v>
      </c>
      <c r="F27" s="15">
        <f>Input!G27</f>
        <v>0</v>
      </c>
      <c r="H27" s="16"/>
      <c r="I27" s="14"/>
      <c r="J27" s="14">
        <f t="shared" si="0"/>
        <v>7</v>
      </c>
      <c r="K27" s="14"/>
      <c r="L27" s="14"/>
      <c r="M27" s="14">
        <f t="shared" ca="1" si="1"/>
        <v>0</v>
      </c>
      <c r="N27" s="14">
        <f t="shared" ca="1" si="2"/>
        <v>0</v>
      </c>
      <c r="O27" s="14">
        <f t="shared" ca="1" si="3"/>
        <v>0</v>
      </c>
      <c r="P27" s="14">
        <f t="shared" ca="1" si="4"/>
        <v>0</v>
      </c>
      <c r="Q27" s="14">
        <f t="shared" ca="1" si="5"/>
        <v>0</v>
      </c>
      <c r="R27" s="14">
        <f t="shared" ca="1" si="6"/>
        <v>0</v>
      </c>
      <c r="S27" s="15">
        <f t="shared" ca="1" si="7"/>
        <v>0</v>
      </c>
    </row>
    <row r="28" spans="1:19" ht="16.5">
      <c r="A28" s="46" t="s">
        <v>28</v>
      </c>
      <c r="B28" s="14"/>
      <c r="C28" s="14"/>
      <c r="D28" s="16">
        <f>Input!E28</f>
        <v>0</v>
      </c>
      <c r="E28" s="14">
        <f>Input!F28</f>
        <v>0</v>
      </c>
      <c r="F28" s="15">
        <f>Input!G28</f>
        <v>0</v>
      </c>
      <c r="H28" s="16"/>
      <c r="I28" s="14"/>
      <c r="J28" s="14">
        <f t="shared" si="0"/>
        <v>7</v>
      </c>
      <c r="K28" s="14"/>
      <c r="L28" s="14"/>
      <c r="M28" s="14">
        <f t="shared" ca="1" si="1"/>
        <v>0</v>
      </c>
      <c r="N28" s="14">
        <f t="shared" ca="1" si="2"/>
        <v>0</v>
      </c>
      <c r="O28" s="14">
        <f t="shared" ca="1" si="3"/>
        <v>0</v>
      </c>
      <c r="P28" s="14">
        <f t="shared" ca="1" si="4"/>
        <v>0</v>
      </c>
      <c r="Q28" s="14">
        <f t="shared" ca="1" si="5"/>
        <v>0</v>
      </c>
      <c r="R28" s="14">
        <f t="shared" ca="1" si="6"/>
        <v>0</v>
      </c>
      <c r="S28" s="15">
        <f t="shared" ca="1" si="7"/>
        <v>0</v>
      </c>
    </row>
    <row r="29" spans="1:19" ht="16.5">
      <c r="A29" s="46" t="s">
        <v>33</v>
      </c>
      <c r="B29" s="14"/>
      <c r="C29" s="14"/>
      <c r="D29" s="16">
        <f>Input!E29</f>
        <v>0</v>
      </c>
      <c r="E29" s="14">
        <f>Input!F29</f>
        <v>0</v>
      </c>
      <c r="F29" s="15">
        <f>Input!G29</f>
        <v>0</v>
      </c>
      <c r="H29" s="16"/>
      <c r="I29" s="14"/>
      <c r="J29" s="14">
        <f t="shared" si="0"/>
        <v>7</v>
      </c>
      <c r="K29" s="14"/>
      <c r="L29" s="14"/>
      <c r="M29" s="14">
        <f t="shared" ca="1" si="1"/>
        <v>0</v>
      </c>
      <c r="N29" s="14">
        <f t="shared" ca="1" si="2"/>
        <v>0</v>
      </c>
      <c r="O29" s="14">
        <f t="shared" ca="1" si="3"/>
        <v>0</v>
      </c>
      <c r="P29" s="14">
        <f t="shared" ca="1" si="4"/>
        <v>0</v>
      </c>
      <c r="Q29" s="14">
        <f t="shared" ca="1" si="5"/>
        <v>0</v>
      </c>
      <c r="R29" s="14">
        <f t="shared" ca="1" si="6"/>
        <v>0</v>
      </c>
      <c r="S29" s="15">
        <f t="shared" ca="1" si="7"/>
        <v>0</v>
      </c>
    </row>
    <row r="30" spans="1:19" ht="16.5">
      <c r="A30" s="46" t="s">
        <v>40</v>
      </c>
      <c r="B30" s="14"/>
      <c r="C30" s="14"/>
      <c r="D30" s="16">
        <f>Input!E30</f>
        <v>0</v>
      </c>
      <c r="E30" s="14">
        <f>Input!F30</f>
        <v>0</v>
      </c>
      <c r="F30" s="15">
        <f>Input!G30</f>
        <v>0</v>
      </c>
      <c r="H30" s="16"/>
      <c r="I30" s="14"/>
      <c r="J30" s="14">
        <f t="shared" si="0"/>
        <v>7</v>
      </c>
      <c r="K30" s="14"/>
      <c r="L30" s="14"/>
      <c r="M30" s="14">
        <f t="shared" ca="1" si="1"/>
        <v>0</v>
      </c>
      <c r="N30" s="14">
        <f t="shared" ca="1" si="2"/>
        <v>0</v>
      </c>
      <c r="O30" s="14">
        <f t="shared" ca="1" si="3"/>
        <v>0</v>
      </c>
      <c r="P30" s="14">
        <f t="shared" ca="1" si="4"/>
        <v>0</v>
      </c>
      <c r="Q30" s="14">
        <f t="shared" ca="1" si="5"/>
        <v>0</v>
      </c>
      <c r="R30" s="14">
        <f t="shared" ca="1" si="6"/>
        <v>0</v>
      </c>
      <c r="S30" s="15">
        <f t="shared" ca="1" si="7"/>
        <v>0</v>
      </c>
    </row>
    <row r="31" spans="1:19" ht="16.5">
      <c r="A31" s="46" t="s">
        <v>37</v>
      </c>
      <c r="B31" s="14"/>
      <c r="C31" s="14"/>
      <c r="D31" s="16">
        <f>Input!E31</f>
        <v>0</v>
      </c>
      <c r="E31" s="14">
        <f>Input!F31</f>
        <v>0</v>
      </c>
      <c r="F31" s="15">
        <f>Input!G31</f>
        <v>0</v>
      </c>
      <c r="H31" s="16"/>
      <c r="I31" s="14"/>
      <c r="J31" s="14">
        <f t="shared" si="0"/>
        <v>7</v>
      </c>
      <c r="K31" s="14"/>
      <c r="L31" s="14"/>
      <c r="M31" s="14">
        <f t="shared" ca="1" si="1"/>
        <v>0</v>
      </c>
      <c r="N31" s="14">
        <f t="shared" ca="1" si="2"/>
        <v>0</v>
      </c>
      <c r="O31" s="14">
        <f t="shared" ca="1" si="3"/>
        <v>0</v>
      </c>
      <c r="P31" s="14">
        <f t="shared" ca="1" si="4"/>
        <v>0</v>
      </c>
      <c r="Q31" s="14">
        <f t="shared" ca="1" si="5"/>
        <v>0</v>
      </c>
      <c r="R31" s="14">
        <f t="shared" ca="1" si="6"/>
        <v>0</v>
      </c>
      <c r="S31" s="15">
        <f t="shared" ca="1" si="7"/>
        <v>0</v>
      </c>
    </row>
    <row r="32" spans="1:19" ht="16.5">
      <c r="A32" s="14"/>
      <c r="B32" s="14"/>
      <c r="C32" s="14"/>
      <c r="D32" s="16">
        <f>Input!E32</f>
        <v>0</v>
      </c>
      <c r="E32" s="14">
        <f>Input!F32</f>
        <v>0</v>
      </c>
      <c r="F32" s="15">
        <f>Input!G32</f>
        <v>0</v>
      </c>
      <c r="H32" s="16"/>
      <c r="I32" s="14"/>
      <c r="J32" s="14">
        <f t="shared" si="0"/>
        <v>7</v>
      </c>
      <c r="K32" s="14"/>
      <c r="L32" s="14"/>
      <c r="M32" s="14">
        <f t="shared" ca="1" si="1"/>
        <v>0</v>
      </c>
      <c r="N32" s="14">
        <f t="shared" ca="1" si="2"/>
        <v>0</v>
      </c>
      <c r="O32" s="14">
        <f t="shared" ca="1" si="3"/>
        <v>0</v>
      </c>
      <c r="P32" s="14">
        <f t="shared" ca="1" si="4"/>
        <v>0</v>
      </c>
      <c r="Q32" s="14">
        <f t="shared" ca="1" si="5"/>
        <v>0</v>
      </c>
      <c r="R32" s="14">
        <f t="shared" ca="1" si="6"/>
        <v>0</v>
      </c>
      <c r="S32" s="15">
        <f t="shared" ca="1" si="7"/>
        <v>0</v>
      </c>
    </row>
    <row r="33" spans="1:19" ht="16.5">
      <c r="A33" s="14"/>
      <c r="B33" s="14"/>
      <c r="C33" s="14"/>
      <c r="D33" s="16">
        <f>Input!E33</f>
        <v>0</v>
      </c>
      <c r="E33" s="14">
        <f>Input!F33</f>
        <v>0</v>
      </c>
      <c r="F33" s="15">
        <f>Input!G33</f>
        <v>0</v>
      </c>
      <c r="H33" s="16"/>
      <c r="I33" s="14"/>
      <c r="J33" s="14">
        <f t="shared" si="0"/>
        <v>7</v>
      </c>
      <c r="K33" s="14"/>
      <c r="L33" s="14"/>
      <c r="M33" s="14">
        <f t="shared" ca="1" si="1"/>
        <v>0</v>
      </c>
      <c r="N33" s="14">
        <f t="shared" ca="1" si="2"/>
        <v>0</v>
      </c>
      <c r="O33" s="14">
        <f t="shared" ca="1" si="3"/>
        <v>0</v>
      </c>
      <c r="P33" s="14">
        <f t="shared" ca="1" si="4"/>
        <v>0</v>
      </c>
      <c r="Q33" s="14">
        <f t="shared" ca="1" si="5"/>
        <v>0</v>
      </c>
      <c r="R33" s="14">
        <f t="shared" ca="1" si="6"/>
        <v>0</v>
      </c>
      <c r="S33" s="15">
        <f t="shared" ca="1" si="7"/>
        <v>0</v>
      </c>
    </row>
    <row r="34" spans="1:19" ht="16.5">
      <c r="A34" s="14"/>
      <c r="B34" s="14"/>
      <c r="C34" s="14"/>
      <c r="D34" s="17">
        <f>Input!E34</f>
        <v>0</v>
      </c>
      <c r="E34" s="18">
        <f>Input!F34</f>
        <v>0</v>
      </c>
      <c r="F34" s="19">
        <f>Input!G34</f>
        <v>0</v>
      </c>
      <c r="H34" s="17"/>
      <c r="I34" s="18"/>
      <c r="J34" s="18">
        <f t="shared" si="0"/>
        <v>7</v>
      </c>
      <c r="K34" s="18"/>
      <c r="L34" s="18"/>
      <c r="M34" s="18">
        <f t="shared" ca="1" si="1"/>
        <v>0</v>
      </c>
      <c r="N34" s="18">
        <f t="shared" ca="1" si="2"/>
        <v>0</v>
      </c>
      <c r="O34" s="18">
        <f t="shared" ca="1" si="3"/>
        <v>0</v>
      </c>
      <c r="P34" s="18">
        <f t="shared" ca="1" si="4"/>
        <v>0</v>
      </c>
      <c r="Q34" s="18">
        <f t="shared" ca="1" si="5"/>
        <v>0</v>
      </c>
      <c r="R34" s="18">
        <f t="shared" ca="1" si="6"/>
        <v>0</v>
      </c>
      <c r="S34" s="19">
        <f t="shared" ca="1" si="7"/>
        <v>0</v>
      </c>
    </row>
  </sheetData>
  <mergeCells count="3">
    <mergeCell ref="D1:F1"/>
    <mergeCell ref="H1:L1"/>
    <mergeCell ref="AA1:AD1"/>
  </mergeCells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482CD-AF01-42FD-B1E9-3777E33C5274}">
  <sheetPr codeName="Sheet4"/>
  <dimension ref="B21:J26"/>
  <sheetViews>
    <sheetView workbookViewId="0">
      <selection activeCell="K27" sqref="K27"/>
    </sheetView>
  </sheetViews>
  <sheetFormatPr defaultColWidth="8.81640625" defaultRowHeight="14.5"/>
  <cols>
    <col min="1" max="16384" width="8.81640625" style="53"/>
  </cols>
  <sheetData>
    <row r="21" spans="2:10">
      <c r="J21" s="53" t="s">
        <v>49</v>
      </c>
    </row>
    <row r="26" spans="2:10">
      <c r="B26" s="54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2</xdr:col>
                <xdr:colOff>273050</xdr:colOff>
                <xdr:row>3</xdr:row>
                <xdr:rowOff>127000</xdr:rowOff>
              </from>
              <to>
                <xdr:col>5</xdr:col>
                <xdr:colOff>298450</xdr:colOff>
                <xdr:row>7</xdr:row>
                <xdr:rowOff>63500</xdr:rowOff>
              </to>
            </anchor>
          </controlPr>
        </control>
      </mc:Choice>
      <mc:Fallback>
        <control shapeId="7169" r:id="rId3" name="CommandButton1"/>
      </mc:Fallback>
    </mc:AlternateContent>
    <mc:AlternateContent xmlns:mc="http://schemas.openxmlformats.org/markup-compatibility/2006">
      <mc:Choice Requires="x14">
        <control shapeId="7170" r:id="rId5" name="CommandButton2">
          <controlPr defaultSize="0" autoLine="0" r:id="rId6">
            <anchor moveWithCells="1">
              <from>
                <xdr:col>11</xdr:col>
                <xdr:colOff>476250</xdr:colOff>
                <xdr:row>4</xdr:row>
                <xdr:rowOff>0</xdr:rowOff>
              </from>
              <to>
                <xdr:col>14</xdr:col>
                <xdr:colOff>273050</xdr:colOff>
                <xdr:row>6</xdr:row>
                <xdr:rowOff>146050</xdr:rowOff>
              </to>
            </anchor>
          </controlPr>
        </control>
      </mc:Choice>
      <mc:Fallback>
        <control shapeId="7170" r:id="rId5" name="CommandButton2"/>
      </mc:Fallback>
    </mc:AlternateContent>
    <mc:AlternateContent xmlns:mc="http://schemas.openxmlformats.org/markup-compatibility/2006">
      <mc:Choice Requires="x14">
        <control shapeId="7171" r:id="rId7" name="RecButton">
          <controlPr defaultSize="0" autoLine="0" r:id="rId8">
            <anchor moveWithCells="1">
              <from>
                <xdr:col>6</xdr:col>
                <xdr:colOff>266700</xdr:colOff>
                <xdr:row>3</xdr:row>
                <xdr:rowOff>114300</xdr:rowOff>
              </from>
              <to>
                <xdr:col>10</xdr:col>
                <xdr:colOff>298450</xdr:colOff>
                <xdr:row>7</xdr:row>
                <xdr:rowOff>38100</xdr:rowOff>
              </to>
            </anchor>
          </controlPr>
        </control>
      </mc:Choice>
      <mc:Fallback>
        <control shapeId="7171" r:id="rId7" name="RecButt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6C36E3374FEE46B84A721A8F695A77" ma:contentTypeVersion="5" ma:contentTypeDescription="Create a new document." ma:contentTypeScope="" ma:versionID="4e77e3cfd94b9fa0a12e21376b3cb87f">
  <xsd:schema xmlns:xsd="http://www.w3.org/2001/XMLSchema" xmlns:xs="http://www.w3.org/2001/XMLSchema" xmlns:p="http://schemas.microsoft.com/office/2006/metadata/properties" xmlns:ns3="2bba516e-e1e7-40c1-ab04-5069c3c0603a" xmlns:ns4="dfc60314-bfd7-4e9e-949a-45ba02dd3f62" targetNamespace="http://schemas.microsoft.com/office/2006/metadata/properties" ma:root="true" ma:fieldsID="b13b815af3698386ff27ab8abc1c5a4d" ns3:_="" ns4:_="">
    <xsd:import namespace="2bba516e-e1e7-40c1-ab04-5069c3c0603a"/>
    <xsd:import namespace="dfc60314-bfd7-4e9e-949a-45ba02dd3f6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ba516e-e1e7-40c1-ab04-5069c3c0603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c60314-bfd7-4e9e-949a-45ba02dd3f6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A288FEB-94BA-4977-82AB-68C7BFC6BB0B}">
  <ds:schemaRefs>
    <ds:schemaRef ds:uri="http://schemas.microsoft.com/office/2006/documentManagement/types"/>
    <ds:schemaRef ds:uri="http://schemas.microsoft.com/office/infopath/2007/PartnerControls"/>
    <ds:schemaRef ds:uri="dfc60314-bfd7-4e9e-949a-45ba02dd3f62"/>
    <ds:schemaRef ds:uri="http://schemas.microsoft.com/office/2006/metadata/properties"/>
    <ds:schemaRef ds:uri="http://purl.org/dc/dcmitype/"/>
    <ds:schemaRef ds:uri="http://purl.org/dc/terms/"/>
    <ds:schemaRef ds:uri="2bba516e-e1e7-40c1-ab04-5069c3c0603a"/>
    <ds:schemaRef ds:uri="http://schemas.openxmlformats.org/package/2006/metadata/core-propertie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61D9A3D5-5429-4AB1-A4A1-34345EF833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ba516e-e1e7-40c1-ab04-5069c3c0603a"/>
    <ds:schemaRef ds:uri="dfc60314-bfd7-4e9e-949a-45ba02dd3f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D9AE93-A613-477E-ABBD-50BC73D3B24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Input</vt:lpstr>
      <vt:lpstr>Data</vt:lpstr>
      <vt:lpstr>Output</vt:lpstr>
      <vt:lpstr>Categories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Cuthbert Liaw</dc:creator>
  <cp:keywords/>
  <dc:description/>
  <cp:lastModifiedBy>Joanna Song</cp:lastModifiedBy>
  <cp:revision/>
  <dcterms:created xsi:type="dcterms:W3CDTF">2021-10-26T04:32:41Z</dcterms:created>
  <dcterms:modified xsi:type="dcterms:W3CDTF">2023-01-12T07:25:20Z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0x010100606C36E3374FEE46B84A721A8F695A77</vt:lpwstr>
  </property>
</Properties>
</file>